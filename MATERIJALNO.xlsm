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5480" windowHeight="11640" activeTab="1"/>
  </bookViews>
  <sheets>
    <sheet name="NALOG" sheetId="1" r:id="rId1"/>
    <sheet name="MATRICA" sheetId="2" r:id="rId2"/>
    <sheet name="POKNJIGA" sheetId="3" r:id="rId3"/>
    <sheet name="LISTA" sheetId="4" r:id="rId4"/>
    <sheet name="NIVEL" sheetId="5" r:id="rId5"/>
  </sheets>
  <definedNames>
    <definedName name="_xlnm._FilterDatabase" localSheetId="3" hidden="1">LISTA!$Z$9:$Z$13</definedName>
  </definedNames>
  <calcPr calcId="125725"/>
</workbook>
</file>

<file path=xl/calcChain.xml><?xml version="1.0" encoding="utf-8"?>
<calcChain xmlns="http://schemas.openxmlformats.org/spreadsheetml/2006/main">
  <c r="O38" i="5"/>
  <c r="H38"/>
  <c r="I38" s="1"/>
  <c r="J38" s="1"/>
  <c r="K38" s="1"/>
  <c r="V38" s="1"/>
  <c r="G38"/>
  <c r="O37"/>
  <c r="H37"/>
  <c r="I37" s="1"/>
  <c r="J37" s="1"/>
  <c r="K37" s="1"/>
  <c r="V37" s="1"/>
  <c r="G37"/>
  <c r="O36"/>
  <c r="H36"/>
  <c r="I36" s="1"/>
  <c r="J36" s="1"/>
  <c r="K36" s="1"/>
  <c r="V36" s="1"/>
  <c r="G36"/>
  <c r="O35"/>
  <c r="H35"/>
  <c r="I35" s="1"/>
  <c r="J35" s="1"/>
  <c r="K35" s="1"/>
  <c r="V35" s="1"/>
  <c r="G35"/>
  <c r="O34"/>
  <c r="H34"/>
  <c r="I34" s="1"/>
  <c r="J34" s="1"/>
  <c r="K34" s="1"/>
  <c r="V34" s="1"/>
  <c r="G34"/>
  <c r="O33"/>
  <c r="H33"/>
  <c r="I33" s="1"/>
  <c r="J33" s="1"/>
  <c r="K33" s="1"/>
  <c r="V33" s="1"/>
  <c r="G33"/>
  <c r="O32"/>
  <c r="H32"/>
  <c r="I32" s="1"/>
  <c r="J32" s="1"/>
  <c r="K32" s="1"/>
  <c r="V32" s="1"/>
  <c r="G32"/>
  <c r="O31"/>
  <c r="H31"/>
  <c r="I31" s="1"/>
  <c r="J31" s="1"/>
  <c r="K31" s="1"/>
  <c r="V31" s="1"/>
  <c r="G31"/>
  <c r="O30"/>
  <c r="H30"/>
  <c r="I30" s="1"/>
  <c r="J30" s="1"/>
  <c r="K30" s="1"/>
  <c r="V30" s="1"/>
  <c r="G30"/>
  <c r="O29"/>
  <c r="H29"/>
  <c r="I29" s="1"/>
  <c r="J29" s="1"/>
  <c r="K29" s="1"/>
  <c r="V29" s="1"/>
  <c r="G29"/>
  <c r="O28"/>
  <c r="H28"/>
  <c r="I28" s="1"/>
  <c r="J28" s="1"/>
  <c r="K28" s="1"/>
  <c r="V28" s="1"/>
  <c r="G28"/>
  <c r="O27"/>
  <c r="H27"/>
  <c r="I27" s="1"/>
  <c r="J27" s="1"/>
  <c r="K27" s="1"/>
  <c r="V27" s="1"/>
  <c r="G27"/>
  <c r="O26"/>
  <c r="H26"/>
  <c r="I26" s="1"/>
  <c r="J26" s="1"/>
  <c r="K26" s="1"/>
  <c r="V26" s="1"/>
  <c r="G26"/>
  <c r="O25"/>
  <c r="H25"/>
  <c r="I25" s="1"/>
  <c r="J25" s="1"/>
  <c r="K25" s="1"/>
  <c r="V25" s="1"/>
  <c r="G25"/>
  <c r="O24"/>
  <c r="H24"/>
  <c r="I24" s="1"/>
  <c r="J24" s="1"/>
  <c r="K24" s="1"/>
  <c r="V24" s="1"/>
  <c r="G24"/>
  <c r="O23"/>
  <c r="H23"/>
  <c r="I23" s="1"/>
  <c r="J23" s="1"/>
  <c r="K23" s="1"/>
  <c r="V23" s="1"/>
  <c r="G23"/>
  <c r="O22"/>
  <c r="H22"/>
  <c r="I22" s="1"/>
  <c r="J22" s="1"/>
  <c r="K22" s="1"/>
  <c r="V22" s="1"/>
  <c r="G22"/>
  <c r="O21"/>
  <c r="H21"/>
  <c r="I21" s="1"/>
  <c r="J21" s="1"/>
  <c r="K21" s="1"/>
  <c r="V21" s="1"/>
  <c r="G21"/>
  <c r="O20"/>
  <c r="H20"/>
  <c r="I20" s="1"/>
  <c r="J20" s="1"/>
  <c r="K20" s="1"/>
  <c r="V20" s="1"/>
  <c r="G20"/>
  <c r="O19"/>
  <c r="H19"/>
  <c r="I19" s="1"/>
  <c r="J19" s="1"/>
  <c r="K19" s="1"/>
  <c r="V19" s="1"/>
  <c r="G19"/>
  <c r="O18"/>
  <c r="H18"/>
  <c r="I18" s="1"/>
  <c r="J18" s="1"/>
  <c r="K18" s="1"/>
  <c r="V18" s="1"/>
  <c r="G18"/>
  <c r="O17"/>
  <c r="H17"/>
  <c r="I17" s="1"/>
  <c r="J17" s="1"/>
  <c r="K17" s="1"/>
  <c r="V17" s="1"/>
  <c r="G17"/>
  <c r="O16"/>
  <c r="H16"/>
  <c r="I16" s="1"/>
  <c r="J16" s="1"/>
  <c r="K16" s="1"/>
  <c r="V16" s="1"/>
  <c r="G16"/>
  <c r="O15"/>
  <c r="H15"/>
  <c r="I15" s="1"/>
  <c r="J15" s="1"/>
  <c r="K15" s="1"/>
  <c r="V15" s="1"/>
  <c r="G15"/>
  <c r="O14"/>
  <c r="H14"/>
  <c r="I14" s="1"/>
  <c r="J14" s="1"/>
  <c r="K14" s="1"/>
  <c r="V14" s="1"/>
  <c r="G14"/>
  <c r="O13"/>
  <c r="H13"/>
  <c r="I13" s="1"/>
  <c r="J13" s="1"/>
  <c r="K13" s="1"/>
  <c r="V13" s="1"/>
  <c r="G13"/>
  <c r="O12"/>
  <c r="H12"/>
  <c r="I12" s="1"/>
  <c r="J12" s="1"/>
  <c r="K12" s="1"/>
  <c r="V12" s="1"/>
  <c r="G12"/>
  <c r="O11"/>
  <c r="H11"/>
  <c r="I11" s="1"/>
  <c r="J11" s="1"/>
  <c r="G11"/>
  <c r="G40" s="1"/>
  <c r="O10"/>
  <c r="B5"/>
  <c r="P10" s="1"/>
  <c r="F7" i="4"/>
  <c r="V14" i="1"/>
  <c r="T14"/>
  <c r="X14" s="1"/>
  <c r="S14"/>
  <c r="W14" s="1"/>
  <c r="P14"/>
  <c r="O14"/>
  <c r="F14"/>
  <c r="A14"/>
  <c r="Q14" s="1"/>
  <c r="W13"/>
  <c r="V13"/>
  <c r="T13"/>
  <c r="X13" s="1"/>
  <c r="S13"/>
  <c r="P13"/>
  <c r="O13"/>
  <c r="F13"/>
  <c r="A13"/>
  <c r="Q13" s="1"/>
  <c r="W12"/>
  <c r="V12"/>
  <c r="T12"/>
  <c r="X12" s="1"/>
  <c r="S12"/>
  <c r="P12"/>
  <c r="O12"/>
  <c r="F12"/>
  <c r="A12"/>
  <c r="Q12" s="1"/>
  <c r="W11"/>
  <c r="V11"/>
  <c r="T11"/>
  <c r="X11" s="1"/>
  <c r="S11"/>
  <c r="P11"/>
  <c r="O11"/>
  <c r="F11"/>
  <c r="A11"/>
  <c r="Q11" s="1"/>
  <c r="W10"/>
  <c r="V10"/>
  <c r="T10"/>
  <c r="X10" s="1"/>
  <c r="S10"/>
  <c r="P10"/>
  <c r="O10"/>
  <c r="F10"/>
  <c r="A10"/>
  <c r="Q10" s="1"/>
  <c r="W9"/>
  <c r="V9"/>
  <c r="T9"/>
  <c r="X9" s="1"/>
  <c r="S9"/>
  <c r="P9"/>
  <c r="O9"/>
  <c r="F9"/>
  <c r="A9"/>
  <c r="Q9" s="1"/>
  <c r="W8"/>
  <c r="V8"/>
  <c r="T8"/>
  <c r="X8" s="1"/>
  <c r="S8"/>
  <c r="P8"/>
  <c r="O8"/>
  <c r="F8"/>
  <c r="A8"/>
  <c r="Q8" s="1"/>
  <c r="W7"/>
  <c r="V7"/>
  <c r="T7"/>
  <c r="X7" s="1"/>
  <c r="S7"/>
  <c r="P7"/>
  <c r="O7"/>
  <c r="F7"/>
  <c r="A7"/>
  <c r="Q7" s="1"/>
  <c r="W6"/>
  <c r="V6"/>
  <c r="T6"/>
  <c r="X6" s="1"/>
  <c r="S6"/>
  <c r="P6"/>
  <c r="O6"/>
  <c r="F6"/>
  <c r="A6"/>
  <c r="Q6" s="1"/>
  <c r="W5"/>
  <c r="V5"/>
  <c r="T5"/>
  <c r="X5" s="1"/>
  <c r="S5"/>
  <c r="P5"/>
  <c r="O5"/>
  <c r="F5"/>
  <c r="A5"/>
  <c r="Q5" s="1"/>
  <c r="W4"/>
  <c r="V4"/>
  <c r="T4"/>
  <c r="X4" s="1"/>
  <c r="S4"/>
  <c r="P4"/>
  <c r="O4"/>
  <c r="F4"/>
  <c r="A4"/>
  <c r="Q4" s="1"/>
  <c r="W3"/>
  <c r="V3"/>
  <c r="T3"/>
  <c r="X3" s="1"/>
  <c r="S3"/>
  <c r="Q3"/>
  <c r="P3"/>
  <c r="O3"/>
  <c r="F3"/>
  <c r="F16" s="1"/>
  <c r="N1" s="1"/>
  <c r="BP38" i="2"/>
  <c r="BO38"/>
  <c r="BH38"/>
  <c r="BI38" s="1"/>
  <c r="BJ38" s="1"/>
  <c r="BK38" s="1"/>
  <c r="BV38" s="1"/>
  <c r="BG38"/>
  <c r="BP37"/>
  <c r="BO37"/>
  <c r="BH37"/>
  <c r="BI37" s="1"/>
  <c r="BJ37" s="1"/>
  <c r="BK37" s="1"/>
  <c r="BV37" s="1"/>
  <c r="BG37"/>
  <c r="BP36"/>
  <c r="BO36"/>
  <c r="BH36"/>
  <c r="BI36" s="1"/>
  <c r="BJ36" s="1"/>
  <c r="BK36" s="1"/>
  <c r="BV36" s="1"/>
  <c r="BG36"/>
  <c r="BP35"/>
  <c r="BO35"/>
  <c r="BH35"/>
  <c r="BI35" s="1"/>
  <c r="BJ35" s="1"/>
  <c r="BK35" s="1"/>
  <c r="BV35" s="1"/>
  <c r="BG35"/>
  <c r="BP34"/>
  <c r="BO34"/>
  <c r="BH34"/>
  <c r="BI34" s="1"/>
  <c r="BJ34" s="1"/>
  <c r="BK34" s="1"/>
  <c r="BV34" s="1"/>
  <c r="BG34"/>
  <c r="BP33"/>
  <c r="BO33"/>
  <c r="BH33"/>
  <c r="BI33" s="1"/>
  <c r="BJ33" s="1"/>
  <c r="BK33" s="1"/>
  <c r="BV33" s="1"/>
  <c r="BG33"/>
  <c r="BP32"/>
  <c r="BO32"/>
  <c r="BH32"/>
  <c r="BI32" s="1"/>
  <c r="BJ32" s="1"/>
  <c r="BK32" s="1"/>
  <c r="BV32" s="1"/>
  <c r="BG32"/>
  <c r="BP31"/>
  <c r="BO31"/>
  <c r="BH31"/>
  <c r="BI31" s="1"/>
  <c r="BJ31" s="1"/>
  <c r="BK31" s="1"/>
  <c r="BV31" s="1"/>
  <c r="BG31"/>
  <c r="BP30"/>
  <c r="BO30"/>
  <c r="BH30"/>
  <c r="BI30" s="1"/>
  <c r="BJ30" s="1"/>
  <c r="BK30" s="1"/>
  <c r="BV30" s="1"/>
  <c r="BG30"/>
  <c r="BP29"/>
  <c r="BO29"/>
  <c r="BH29"/>
  <c r="BI29" s="1"/>
  <c r="BJ29" s="1"/>
  <c r="BK29" s="1"/>
  <c r="BV29" s="1"/>
  <c r="BG29"/>
  <c r="BP28"/>
  <c r="BO28"/>
  <c r="BH28"/>
  <c r="BI28" s="1"/>
  <c r="BJ28" s="1"/>
  <c r="BK28" s="1"/>
  <c r="BV28" s="1"/>
  <c r="BG28"/>
  <c r="BP27"/>
  <c r="BO27"/>
  <c r="BH27"/>
  <c r="BI27" s="1"/>
  <c r="BJ27" s="1"/>
  <c r="BK27" s="1"/>
  <c r="BV27" s="1"/>
  <c r="BG27"/>
  <c r="BP26"/>
  <c r="BO26"/>
  <c r="BH26"/>
  <c r="BI26" s="1"/>
  <c r="BJ26" s="1"/>
  <c r="BK26" s="1"/>
  <c r="BV26" s="1"/>
  <c r="BG26"/>
  <c r="BP25"/>
  <c r="BO25"/>
  <c r="BH25"/>
  <c r="BI25" s="1"/>
  <c r="BJ25" s="1"/>
  <c r="BK25" s="1"/>
  <c r="BV25" s="1"/>
  <c r="BG25"/>
  <c r="BP24"/>
  <c r="BO24"/>
  <c r="BH24"/>
  <c r="BI24" s="1"/>
  <c r="BJ24" s="1"/>
  <c r="BK24" s="1"/>
  <c r="BV24" s="1"/>
  <c r="BG24"/>
  <c r="BP23"/>
  <c r="BO23"/>
  <c r="BH23"/>
  <c r="BI23" s="1"/>
  <c r="BJ23" s="1"/>
  <c r="BK23" s="1"/>
  <c r="BV23" s="1"/>
  <c r="BG23"/>
  <c r="BP22"/>
  <c r="BO22"/>
  <c r="BH22"/>
  <c r="BI22" s="1"/>
  <c r="BJ22" s="1"/>
  <c r="BK22" s="1"/>
  <c r="BV22" s="1"/>
  <c r="BG22"/>
  <c r="BP21"/>
  <c r="BO21"/>
  <c r="BH21"/>
  <c r="BI21" s="1"/>
  <c r="BJ21" s="1"/>
  <c r="BK21" s="1"/>
  <c r="BV21" s="1"/>
  <c r="BG21"/>
  <c r="BP20"/>
  <c r="BO20"/>
  <c r="BH20"/>
  <c r="BI20" s="1"/>
  <c r="BJ20" s="1"/>
  <c r="BK20" s="1"/>
  <c r="BV20" s="1"/>
  <c r="BG20"/>
  <c r="BP19"/>
  <c r="BO19"/>
  <c r="BH19"/>
  <c r="BI19" s="1"/>
  <c r="BJ19" s="1"/>
  <c r="BK19" s="1"/>
  <c r="BV19" s="1"/>
  <c r="BG19"/>
  <c r="BP18"/>
  <c r="BO18"/>
  <c r="BH18"/>
  <c r="BI18" s="1"/>
  <c r="BJ18" s="1"/>
  <c r="BK18" s="1"/>
  <c r="BV18" s="1"/>
  <c r="BG18"/>
  <c r="BP17"/>
  <c r="BO17"/>
  <c r="BH17"/>
  <c r="BI17" s="1"/>
  <c r="BJ17" s="1"/>
  <c r="BK17" s="1"/>
  <c r="BV17" s="1"/>
  <c r="BG17"/>
  <c r="BP16"/>
  <c r="BO16"/>
  <c r="BH16"/>
  <c r="BI16" s="1"/>
  <c r="BJ16" s="1"/>
  <c r="BK16" s="1"/>
  <c r="BV16" s="1"/>
  <c r="BG16"/>
  <c r="BP15"/>
  <c r="BO15"/>
  <c r="BH15"/>
  <c r="BI15" s="1"/>
  <c r="BJ15" s="1"/>
  <c r="BK15" s="1"/>
  <c r="BV15" s="1"/>
  <c r="BG15"/>
  <c r="BP14"/>
  <c r="BO14"/>
  <c r="BH14"/>
  <c r="BI14" s="1"/>
  <c r="BJ14" s="1"/>
  <c r="BK14" s="1"/>
  <c r="BV14" s="1"/>
  <c r="BG14"/>
  <c r="BP13"/>
  <c r="BO13"/>
  <c r="BH13"/>
  <c r="BI13" s="1"/>
  <c r="BJ13" s="1"/>
  <c r="BK13" s="1"/>
  <c r="BV13" s="1"/>
  <c r="BG13"/>
  <c r="BP12"/>
  <c r="BO12"/>
  <c r="BH12"/>
  <c r="BI12" s="1"/>
  <c r="BJ12" s="1"/>
  <c r="BK12" s="1"/>
  <c r="BV12" s="1"/>
  <c r="BG12"/>
  <c r="BP11"/>
  <c r="BO11"/>
  <c r="BH11"/>
  <c r="BI11" s="1"/>
  <c r="BJ11" s="1"/>
  <c r="BG11"/>
  <c r="BG40" s="1"/>
  <c r="BP10"/>
  <c r="BO10"/>
  <c r="BB5"/>
  <c r="AV14"/>
  <c r="AT14"/>
  <c r="AX14" s="1"/>
  <c r="AS14"/>
  <c r="AW14" s="1"/>
  <c r="AP14"/>
  <c r="AO14"/>
  <c r="AF14"/>
  <c r="AA14"/>
  <c r="AQ14" s="1"/>
  <c r="AW13"/>
  <c r="AV13"/>
  <c r="AT13"/>
  <c r="AX13" s="1"/>
  <c r="AS13"/>
  <c r="AP13"/>
  <c r="AO13"/>
  <c r="AF13"/>
  <c r="AA13"/>
  <c r="AQ13" s="1"/>
  <c r="AW12"/>
  <c r="AV12"/>
  <c r="AT12"/>
  <c r="AX12" s="1"/>
  <c r="AS12"/>
  <c r="AP12"/>
  <c r="AO12"/>
  <c r="AF12"/>
  <c r="AA12"/>
  <c r="AQ12" s="1"/>
  <c r="AW11"/>
  <c r="AV11"/>
  <c r="AT11"/>
  <c r="AX11" s="1"/>
  <c r="AS11"/>
  <c r="AP11"/>
  <c r="AO11"/>
  <c r="AF11"/>
  <c r="AA11"/>
  <c r="AQ11" s="1"/>
  <c r="AW10"/>
  <c r="AV10"/>
  <c r="AT10"/>
  <c r="AX10" s="1"/>
  <c r="AS10"/>
  <c r="AP10"/>
  <c r="AO10"/>
  <c r="AF10"/>
  <c r="AA10"/>
  <c r="AQ10" s="1"/>
  <c r="AW9"/>
  <c r="AV9"/>
  <c r="AT9"/>
  <c r="AX9" s="1"/>
  <c r="AS9"/>
  <c r="AP9"/>
  <c r="AO9"/>
  <c r="AF9"/>
  <c r="AA9"/>
  <c r="AQ9" s="1"/>
  <c r="AW8"/>
  <c r="AV8"/>
  <c r="AT8"/>
  <c r="AX8" s="1"/>
  <c r="AS8"/>
  <c r="AP8"/>
  <c r="AO8"/>
  <c r="AF8"/>
  <c r="AA8"/>
  <c r="AQ8" s="1"/>
  <c r="AW7"/>
  <c r="AV7"/>
  <c r="AT7"/>
  <c r="AX7" s="1"/>
  <c r="AS7"/>
  <c r="AP7"/>
  <c r="AO7"/>
  <c r="AF7"/>
  <c r="AA7"/>
  <c r="AQ7" s="1"/>
  <c r="AW6"/>
  <c r="AV6"/>
  <c r="AT6"/>
  <c r="AX6" s="1"/>
  <c r="AS6"/>
  <c r="AP6"/>
  <c r="AO6"/>
  <c r="AF6"/>
  <c r="AA6"/>
  <c r="AQ6" s="1"/>
  <c r="AW5"/>
  <c r="AV5"/>
  <c r="AT5"/>
  <c r="AX5" s="1"/>
  <c r="AS5"/>
  <c r="AP5"/>
  <c r="AO5"/>
  <c r="AF5"/>
  <c r="AA5"/>
  <c r="AQ5" s="1"/>
  <c r="AW4"/>
  <c r="AV4"/>
  <c r="AT4"/>
  <c r="AX4" s="1"/>
  <c r="AS4"/>
  <c r="AP4"/>
  <c r="AO4"/>
  <c r="AF4"/>
  <c r="AA4"/>
  <c r="AQ4" s="1"/>
  <c r="AW3"/>
  <c r="AV3"/>
  <c r="AT3"/>
  <c r="AX3" s="1"/>
  <c r="AS3"/>
  <c r="AQ3"/>
  <c r="AP3"/>
  <c r="AO3"/>
  <c r="AF3"/>
  <c r="AF16" s="1"/>
  <c r="AN1" s="1"/>
  <c r="K3"/>
  <c r="J3"/>
  <c r="I3"/>
  <c r="F3"/>
  <c r="E3"/>
  <c r="J40" i="5" l="1"/>
  <c r="K11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BJ40" i="2"/>
  <c r="BK11"/>
  <c r="G3"/>
  <c r="H3" s="1"/>
  <c r="V11" i="5" l="1"/>
  <c r="K40"/>
  <c r="BV11" i="2"/>
  <c r="BK40"/>
  <c r="U5" i="4" l="1"/>
  <c r="S5"/>
  <c r="R5"/>
  <c r="V5" s="1"/>
  <c r="T5" l="1"/>
</calcChain>
</file>

<file path=xl/sharedStrings.xml><?xml version="1.0" encoding="utf-8"?>
<sst xmlns="http://schemas.openxmlformats.org/spreadsheetml/2006/main" count="330" uniqueCount="76">
  <si>
    <t>НАЛОГ ЗА КЊИЖЕЊЕ БР:</t>
  </si>
  <si>
    <t/>
  </si>
  <si>
    <t>ДАТУМ:</t>
  </si>
  <si>
    <t>Налог</t>
  </si>
  <si>
    <t>Датум</t>
  </si>
  <si>
    <t>С А Д Р Ж А Ј</t>
  </si>
  <si>
    <t>Улаз</t>
  </si>
  <si>
    <t>Излаз</t>
  </si>
  <si>
    <t>Стање</t>
  </si>
  <si>
    <t>Цена</t>
  </si>
  <si>
    <t>Дугује</t>
  </si>
  <si>
    <t>Потражује</t>
  </si>
  <si>
    <t>Салдо</t>
  </si>
  <si>
    <t>О С Н О В  К Њ И Ж Е Њ А</t>
  </si>
  <si>
    <t>Шифра</t>
  </si>
  <si>
    <t>Вредност</t>
  </si>
  <si>
    <t>ШИФРА:</t>
  </si>
  <si>
    <t>ОБРАЧУНСКА ЈЕДИНИЦА</t>
  </si>
  <si>
    <t>НАЗИВ:</t>
  </si>
  <si>
    <t>Прос.цена</t>
  </si>
  <si>
    <t>ЈЕД.МЕРЕ.</t>
  </si>
  <si>
    <t>ОБРАЧУН ПРОМЕНЕ ЦЕНА ЗАЛИХА</t>
  </si>
  <si>
    <t>НА ДАН:</t>
  </si>
  <si>
    <t>НАЛОГ:</t>
  </si>
  <si>
    <t>Досадашња</t>
  </si>
  <si>
    <t>Нова</t>
  </si>
  <si>
    <t>Редни број</t>
  </si>
  <si>
    <t>Шифра артикла</t>
  </si>
  <si>
    <t>Н А З И В  А Р Т И К Л А</t>
  </si>
  <si>
    <t>Јед. мере</t>
  </si>
  <si>
    <t>Количина</t>
  </si>
  <si>
    <t>цена</t>
  </si>
  <si>
    <t>вредност                  (5x6)</t>
  </si>
  <si>
    <t>цена            (6x8)</t>
  </si>
  <si>
    <t>вредност              (5x9)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</si>
  <si>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</si>
  <si>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</si>
  <si>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</si>
  <si>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</si>
  <si>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</si>
  <si>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</si>
  <si>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</si>
  <si>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</si>
  <si>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</si>
  <si>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</si>
  <si>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</si>
  <si>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NIVELACIJA</t>
  </si>
  <si>
    <t>КРИТЕРИЈУМ ИЗДВАЈАЊА</t>
  </si>
  <si>
    <t>ПО ПОПИСУ</t>
  </si>
  <si>
    <t>МАЊАК</t>
  </si>
  <si>
    <t>ВИШАК</t>
  </si>
  <si>
    <t>Назив артикла</t>
  </si>
  <si>
    <t>&gt;=0</t>
  </si>
  <si>
    <t>*</t>
  </si>
  <si>
    <t>ЛИСТА АРТИКАЛА</t>
  </si>
  <si>
    <t>ОДАБРАНИ АРТИКЛИ</t>
  </si>
  <si>
    <t>ПО КЊИГАМА</t>
  </si>
  <si>
    <t>Ј.М.</t>
  </si>
  <si>
    <t>{esc}{GETLABEL "S T A M P A T E  N A L O G (Y/N) ? :  ".C74}</t>
  </si>
  <si>
    <t>{IF C74="y"}{BRANCH B77}</t>
  </si>
  <si>
    <t>/frBOZICB~</t>
  </si>
  <si>
    <t>/PPCARA1..J17~AGQ</t>
  </si>
  <si>
    <t>Укупно:</t>
  </si>
  <si>
    <t>Не попуњавајте последњи ред!</t>
  </si>
  <si>
    <t>Коефициј. промене цена</t>
  </si>
  <si>
    <t>Разлика               (10-7)</t>
  </si>
  <si>
    <t>Sifra</t>
  </si>
  <si>
    <t>_MK1033*</t>
  </si>
  <si>
    <t>_MK1033001</t>
  </si>
  <si>
    <t>=POKNJIGA!$A$1:$K$7</t>
  </si>
  <si>
    <t>_MK1033002</t>
  </si>
  <si>
    <t>=POKNJIGA!$A$10:$K$16</t>
  </si>
  <si>
    <t>Criteria</t>
  </si>
  <si>
    <t>=LISTA!$Z$4:$Z$5</t>
  </si>
  <si>
    <t>Extract</t>
  </si>
  <si>
    <t>=LISTA!$Y$9</t>
  </si>
</sst>
</file>

<file path=xl/styles.xml><?xml version="1.0" encoding="utf-8"?>
<styleSheet xmlns="http://schemas.openxmlformats.org/spreadsheetml/2006/main">
  <numFmts count="6">
    <numFmt numFmtId="164" formatCode="dd/mm/yyyy;@"/>
    <numFmt numFmtId="165" formatCode="_-* #,##0.00\ _S_I_T_-;\-* #,##0.00\ _S_I_T_-;_-* &quot;-&quot;??\ _S_I_T_-;_-@_-"/>
    <numFmt numFmtId="166" formatCode="mm/dd/yy"/>
    <numFmt numFmtId="167" formatCode=";;;"/>
    <numFmt numFmtId="168" formatCode="_-* #,##0.00_-;\-* #,##0.00_-;_-* &quot;-&quot;??_-;_-@_-"/>
    <numFmt numFmtId="169" formatCode="#,##0.00;\(#,##0.00\)"/>
  </numFmts>
  <fonts count="8">
    <font>
      <sz val="11"/>
      <color theme="1"/>
      <name val="Calibri"/>
      <family val="2"/>
      <charset val="238"/>
      <scheme val="minor"/>
    </font>
    <font>
      <sz val="10"/>
      <name val="Times New Roman"/>
      <family val="1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indexed="12"/>
      <name val="Times New Roman"/>
      <family val="1"/>
    </font>
    <font>
      <b/>
      <sz val="10"/>
      <color indexed="12"/>
      <name val="Times New Roman"/>
      <family val="1"/>
    </font>
    <font>
      <sz val="12"/>
      <color indexed="12"/>
      <name val="Times New Roman"/>
      <family val="1"/>
    </font>
    <font>
      <sz val="12"/>
      <name val="Times New Roman"/>
      <family val="1"/>
      <charset val="238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1" fillId="0" borderId="0" xfId="0" applyFont="1" applyAlignment="1">
      <alignment horizontal="right"/>
    </xf>
    <xf numFmtId="0" fontId="1" fillId="0" borderId="0" xfId="0" quotePrefix="1" applyFont="1" applyAlignment="1">
      <alignment horizontal="left"/>
    </xf>
    <xf numFmtId="0" fontId="1" fillId="0" borderId="2" xfId="0" applyFont="1" applyBorder="1"/>
    <xf numFmtId="0" fontId="1" fillId="0" borderId="0" xfId="0" applyFont="1"/>
    <xf numFmtId="165" fontId="1" fillId="0" borderId="0" xfId="0" applyNumberFormat="1" applyFon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NumberFormat="1" applyFont="1"/>
    <xf numFmtId="164" fontId="1" fillId="0" borderId="0" xfId="0" applyNumberFormat="1" applyFont="1"/>
    <xf numFmtId="39" fontId="1" fillId="0" borderId="0" xfId="0" applyNumberFormat="1" applyFont="1"/>
    <xf numFmtId="0" fontId="1" fillId="0" borderId="0" xfId="0" applyFont="1" applyAlignment="1">
      <alignment horizontal="left"/>
    </xf>
    <xf numFmtId="0" fontId="1" fillId="0" borderId="0" xfId="0" quotePrefix="1" applyFont="1"/>
    <xf numFmtId="0" fontId="1" fillId="0" borderId="0" xfId="0" applyFont="1" applyAlignment="1">
      <alignment horizontal="center"/>
    </xf>
    <xf numFmtId="49" fontId="1" fillId="0" borderId="0" xfId="0" quotePrefix="1" applyNumberFormat="1" applyFont="1" applyBorder="1" applyAlignment="1" applyProtection="1">
      <alignment horizontal="left"/>
      <protection locked="0"/>
    </xf>
    <xf numFmtId="0" fontId="3" fillId="0" borderId="0" xfId="0" applyFont="1"/>
    <xf numFmtId="0" fontId="3" fillId="0" borderId="0" xfId="0" applyFont="1" applyAlignment="1" applyProtection="1">
      <alignment horizontal="left"/>
    </xf>
    <xf numFmtId="167" fontId="3" fillId="0" borderId="0" xfId="0" applyNumberFormat="1" applyFont="1" applyProtection="1"/>
    <xf numFmtId="167" fontId="3" fillId="0" borderId="0" xfId="0" quotePrefix="1" applyNumberFormat="1" applyFont="1" applyAlignment="1" applyProtection="1">
      <alignment horizontal="left"/>
    </xf>
    <xf numFmtId="167" fontId="3" fillId="0" borderId="0" xfId="0" applyNumberFormat="1" applyFont="1" applyAlignment="1" applyProtection="1">
      <alignment horizontal="left"/>
    </xf>
    <xf numFmtId="0" fontId="3" fillId="0" borderId="0" xfId="0" applyFont="1" applyProtection="1"/>
    <xf numFmtId="167" fontId="4" fillId="0" borderId="0" xfId="0" applyNumberFormat="1" applyFont="1" applyAlignment="1" applyProtection="1">
      <alignment horizontal="left"/>
      <protection locked="0"/>
    </xf>
    <xf numFmtId="0" fontId="1" fillId="0" borderId="0" xfId="0" applyNumberFormat="1" applyFont="1" applyAlignment="1" applyProtection="1">
      <alignment horizontal="right"/>
      <protection locked="0"/>
    </xf>
    <xf numFmtId="167" fontId="4" fillId="0" borderId="0" xfId="0" applyNumberFormat="1" applyFont="1" applyProtection="1">
      <protection locked="0"/>
    </xf>
    <xf numFmtId="0" fontId="1" fillId="0" borderId="2" xfId="0" quotePrefix="1" applyFont="1" applyBorder="1" applyAlignment="1">
      <alignment horizontal="left"/>
    </xf>
    <xf numFmtId="167" fontId="1" fillId="0" borderId="0" xfId="0" applyNumberFormat="1" applyFont="1" applyAlignment="1" applyProtection="1">
      <alignment horizontal="left"/>
    </xf>
    <xf numFmtId="0" fontId="4" fillId="0" borderId="0" xfId="0" applyFont="1" applyProtection="1">
      <protection locked="0"/>
    </xf>
    <xf numFmtId="167" fontId="1" fillId="0" borderId="0" xfId="0" applyNumberFormat="1" applyFont="1" applyProtection="1"/>
    <xf numFmtId="168" fontId="1" fillId="0" borderId="0" xfId="0" applyNumberFormat="1" applyFont="1" applyBorder="1"/>
    <xf numFmtId="0" fontId="3" fillId="0" borderId="0" xfId="0" applyFont="1" applyAlignment="1">
      <alignment horizontal="right"/>
    </xf>
    <xf numFmtId="0" fontId="3" fillId="0" borderId="12" xfId="0" applyFont="1" applyBorder="1"/>
    <xf numFmtId="0" fontId="3" fillId="0" borderId="16" xfId="0" quotePrefix="1" applyFont="1" applyBorder="1" applyAlignment="1" applyProtection="1">
      <alignment horizontal="center" wrapText="1"/>
    </xf>
    <xf numFmtId="0" fontId="3" fillId="0" borderId="16" xfId="0" quotePrefix="1" applyFont="1" applyBorder="1" applyAlignment="1" applyProtection="1">
      <alignment horizontal="center" vertical="center" wrapText="1"/>
    </xf>
    <xf numFmtId="0" fontId="3" fillId="0" borderId="16" xfId="0" applyFont="1" applyBorder="1" applyAlignment="1" applyProtection="1">
      <alignment horizontal="center" vertical="center" wrapText="1"/>
    </xf>
    <xf numFmtId="0" fontId="1" fillId="0" borderId="0" xfId="0" applyFont="1" applyProtection="1"/>
    <xf numFmtId="0" fontId="3" fillId="0" borderId="11" xfId="0" applyFont="1" applyBorder="1" applyAlignment="1" applyProtection="1">
      <alignment horizontal="center"/>
    </xf>
    <xf numFmtId="164" fontId="1" fillId="0" borderId="0" xfId="0" applyNumberFormat="1" applyFont="1" applyProtection="1"/>
    <xf numFmtId="0" fontId="1" fillId="0" borderId="0" xfId="0" applyFont="1" applyAlignment="1" applyProtection="1">
      <alignment horizontal="left"/>
    </xf>
    <xf numFmtId="0" fontId="1" fillId="0" borderId="0" xfId="0" quotePrefix="1" applyFont="1" applyAlignment="1" applyProtection="1">
      <alignment horizontal="left"/>
    </xf>
    <xf numFmtId="39" fontId="1" fillId="0" borderId="0" xfId="0" applyNumberFormat="1" applyFont="1" applyProtection="1"/>
    <xf numFmtId="49" fontId="3" fillId="0" borderId="12" xfId="0" applyNumberFormat="1" applyFont="1" applyBorder="1"/>
    <xf numFmtId="39" fontId="3" fillId="0" borderId="12" xfId="0" applyNumberFormat="1" applyFont="1" applyBorder="1" applyProtection="1"/>
    <xf numFmtId="49" fontId="3" fillId="0" borderId="17" xfId="0" applyNumberFormat="1" applyFont="1" applyBorder="1"/>
    <xf numFmtId="0" fontId="3" fillId="0" borderId="17" xfId="0" applyFont="1" applyBorder="1"/>
    <xf numFmtId="39" fontId="3" fillId="0" borderId="17" xfId="0" applyNumberFormat="1" applyFont="1" applyBorder="1" applyProtection="1"/>
    <xf numFmtId="0" fontId="3" fillId="0" borderId="0" xfId="0" applyFont="1" applyAlignment="1" applyProtection="1">
      <alignment horizontal="right"/>
    </xf>
    <xf numFmtId="39" fontId="3" fillId="0" borderId="15" xfId="0" applyNumberFormat="1" applyFont="1" applyBorder="1" applyProtection="1"/>
    <xf numFmtId="0" fontId="1" fillId="0" borderId="7" xfId="0" applyFont="1" applyBorder="1"/>
    <xf numFmtId="0" fontId="1" fillId="0" borderId="3" xfId="0" applyFont="1" applyBorder="1"/>
    <xf numFmtId="0" fontId="1" fillId="0" borderId="7" xfId="0" applyFont="1" applyBorder="1" applyAlignment="1">
      <alignment horizontal="left"/>
    </xf>
    <xf numFmtId="0" fontId="1" fillId="0" borderId="9" xfId="0" applyFont="1" applyBorder="1" applyAlignment="1">
      <alignment horizontal="center"/>
    </xf>
    <xf numFmtId="0" fontId="1" fillId="0" borderId="2" xfId="0" quotePrefix="1" applyFont="1" applyBorder="1" applyAlignment="1">
      <alignment horizontal="center"/>
    </xf>
    <xf numFmtId="0" fontId="1" fillId="0" borderId="9" xfId="0" applyFont="1" applyBorder="1"/>
    <xf numFmtId="39" fontId="1" fillId="0" borderId="0" xfId="0" applyNumberFormat="1" applyFont="1"/>
    <xf numFmtId="0" fontId="6" fillId="0" borderId="0" xfId="0" applyFont="1" applyProtection="1">
      <protection locked="0"/>
    </xf>
    <xf numFmtId="49" fontId="2" fillId="3" borderId="2" xfId="0" applyNumberFormat="1" applyFont="1" applyFill="1" applyBorder="1" applyProtection="1">
      <protection locked="0"/>
    </xf>
    <xf numFmtId="0" fontId="1" fillId="4" borderId="2" xfId="0" applyFont="1" applyFill="1" applyBorder="1"/>
    <xf numFmtId="39" fontId="1" fillId="4" borderId="2" xfId="0" applyNumberFormat="1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2" xfId="0" quotePrefix="1" applyFont="1" applyFill="1" applyBorder="1" applyAlignment="1">
      <alignment horizontal="left"/>
    </xf>
    <xf numFmtId="49" fontId="1" fillId="3" borderId="1" xfId="0" applyNumberFormat="1" applyFont="1" applyFill="1" applyBorder="1" applyProtection="1">
      <protection locked="0"/>
    </xf>
    <xf numFmtId="164" fontId="1" fillId="3" borderId="1" xfId="0" applyNumberFormat="1" applyFont="1" applyFill="1" applyBorder="1" applyAlignment="1">
      <alignment horizontal="right"/>
    </xf>
    <xf numFmtId="0" fontId="1" fillId="3" borderId="4" xfId="0" quotePrefix="1" applyNumberFormat="1" applyFont="1" applyFill="1" applyBorder="1" applyAlignment="1" applyProtection="1">
      <alignment horizontal="left"/>
      <protection locked="0"/>
    </xf>
    <xf numFmtId="49" fontId="1" fillId="3" borderId="5" xfId="0" applyNumberFormat="1" applyFont="1" applyFill="1" applyBorder="1" applyProtection="1">
      <protection locked="0"/>
    </xf>
    <xf numFmtId="0" fontId="1" fillId="3" borderId="5" xfId="0" applyNumberFormat="1" applyFont="1" applyFill="1" applyBorder="1" applyProtection="1">
      <protection locked="0"/>
    </xf>
    <xf numFmtId="39" fontId="1" fillId="3" borderId="5" xfId="0" applyNumberFormat="1" applyFont="1" applyFill="1" applyBorder="1" applyProtection="1">
      <protection locked="0"/>
    </xf>
    <xf numFmtId="39" fontId="1" fillId="3" borderId="6" xfId="0" applyNumberFormat="1" applyFont="1" applyFill="1" applyBorder="1" applyProtection="1">
      <protection locked="0"/>
    </xf>
    <xf numFmtId="39" fontId="1" fillId="5" borderId="10" xfId="0" applyNumberFormat="1" applyFont="1" applyFill="1" applyBorder="1" applyProtection="1">
      <protection locked="0"/>
    </xf>
    <xf numFmtId="0" fontId="1" fillId="6" borderId="7" xfId="0" applyFont="1" applyFill="1" applyBorder="1"/>
    <xf numFmtId="165" fontId="1" fillId="6" borderId="8" xfId="0" applyNumberFormat="1" applyFont="1" applyFill="1" applyBorder="1"/>
    <xf numFmtId="0" fontId="1" fillId="6" borderId="8" xfId="0" applyFont="1" applyFill="1" applyBorder="1"/>
    <xf numFmtId="49" fontId="1" fillId="6" borderId="3" xfId="0" applyNumberFormat="1" applyFont="1" applyFill="1" applyBorder="1"/>
    <xf numFmtId="0" fontId="1" fillId="6" borderId="9" xfId="0" applyFont="1" applyFill="1" applyBorder="1"/>
    <xf numFmtId="166" fontId="1" fillId="6" borderId="9" xfId="0" applyNumberFormat="1" applyFont="1" applyFill="1" applyBorder="1"/>
    <xf numFmtId="165" fontId="1" fillId="6" borderId="9" xfId="0" applyNumberFormat="1" applyFont="1" applyFill="1" applyBorder="1"/>
    <xf numFmtId="0" fontId="1" fillId="6" borderId="3" xfId="0" applyFont="1" applyFill="1" applyBorder="1"/>
    <xf numFmtId="0" fontId="3" fillId="3" borderId="7" xfId="0" applyFont="1" applyFill="1" applyBorder="1"/>
    <xf numFmtId="0" fontId="3" fillId="3" borderId="9" xfId="0" applyFont="1" applyFill="1" applyBorder="1"/>
    <xf numFmtId="0" fontId="3" fillId="3" borderId="3" xfId="0" applyFont="1" applyFill="1" applyBorder="1"/>
    <xf numFmtId="164" fontId="5" fillId="3" borderId="11" xfId="0" applyNumberFormat="1" applyFont="1" applyFill="1" applyBorder="1" applyAlignment="1" applyProtection="1">
      <protection locked="0"/>
    </xf>
    <xf numFmtId="49" fontId="5" fillId="3" borderId="11" xfId="0" applyNumberFormat="1" applyFont="1" applyFill="1" applyBorder="1" applyAlignment="1" applyProtection="1">
      <protection locked="0"/>
    </xf>
    <xf numFmtId="49" fontId="5" fillId="3" borderId="12" xfId="0" applyNumberFormat="1" applyFont="1" applyFill="1" applyBorder="1" applyProtection="1">
      <protection locked="0"/>
    </xf>
    <xf numFmtId="49" fontId="5" fillId="3" borderId="17" xfId="0" applyNumberFormat="1" applyFont="1" applyFill="1" applyBorder="1" applyProtection="1">
      <protection locked="0"/>
    </xf>
    <xf numFmtId="0" fontId="5" fillId="3" borderId="12" xfId="0" applyNumberFormat="1" applyFont="1" applyFill="1" applyBorder="1" applyProtection="1">
      <protection locked="0"/>
    </xf>
    <xf numFmtId="39" fontId="5" fillId="3" borderId="12" xfId="0" applyNumberFormat="1" applyFont="1" applyFill="1" applyBorder="1" applyProtection="1">
      <protection locked="0"/>
    </xf>
    <xf numFmtId="0" fontId="5" fillId="3" borderId="17" xfId="0" applyNumberFormat="1" applyFont="1" applyFill="1" applyBorder="1" applyProtection="1">
      <protection locked="0"/>
    </xf>
    <xf numFmtId="39" fontId="5" fillId="3" borderId="17" xfId="0" applyNumberFormat="1" applyFont="1" applyFill="1" applyBorder="1" applyProtection="1">
      <protection locked="0"/>
    </xf>
    <xf numFmtId="0" fontId="7" fillId="0" borderId="0" xfId="0" applyFont="1" applyAlignment="1" applyProtection="1">
      <alignment horizontal="left"/>
    </xf>
    <xf numFmtId="49" fontId="1" fillId="0" borderId="0" xfId="0" applyNumberFormat="1" applyFont="1"/>
    <xf numFmtId="169" fontId="1" fillId="0" borderId="0" xfId="0" applyNumberFormat="1" applyFont="1"/>
    <xf numFmtId="0" fontId="1" fillId="0" borderId="0" xfId="0" applyNumberFormat="1" applyFont="1" applyProtection="1">
      <protection locked="0"/>
    </xf>
    <xf numFmtId="49" fontId="1" fillId="3" borderId="18" xfId="0" applyNumberFormat="1" applyFont="1" applyFill="1" applyBorder="1" applyProtection="1">
      <protection locked="0"/>
    </xf>
    <xf numFmtId="0" fontId="3" fillId="0" borderId="12" xfId="0" quotePrefix="1" applyFont="1" applyBorder="1" applyAlignment="1" applyProtection="1">
      <alignment horizontal="center" vertical="center" wrapText="1"/>
    </xf>
    <xf numFmtId="0" fontId="3" fillId="0" borderId="15" xfId="0" quotePrefix="1" applyFont="1" applyBorder="1" applyAlignment="1" applyProtection="1">
      <alignment horizontal="center" vertical="center" wrapText="1"/>
    </xf>
    <xf numFmtId="0" fontId="3" fillId="0" borderId="13" xfId="0" applyFont="1" applyBorder="1" applyAlignment="1" applyProtection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2" xfId="0" applyFont="1" applyBorder="1" applyAlignment="1" applyProtection="1">
      <alignment horizontal="center" vertical="center" wrapText="1"/>
    </xf>
    <xf numFmtId="0" fontId="3" fillId="0" borderId="15" xfId="0" applyFont="1" applyBorder="1" applyAlignment="1" applyProtection="1">
      <alignment horizontal="center" vertical="center" wrapText="1"/>
    </xf>
    <xf numFmtId="0" fontId="3" fillId="0" borderId="12" xfId="0" applyFont="1" applyBorder="1" applyAlignment="1" applyProtection="1">
      <alignment horizontal="center" vertical="center"/>
    </xf>
    <xf numFmtId="0" fontId="3" fillId="0" borderId="15" xfId="0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20"/>
  <sheetViews>
    <sheetView workbookViewId="0">
      <selection activeCell="A24" sqref="A24"/>
    </sheetView>
  </sheetViews>
  <sheetFormatPr defaultColWidth="9.28515625" defaultRowHeight="15"/>
  <cols>
    <col min="1" max="1" width="45.85546875" customWidth="1"/>
    <col min="2" max="4" width="9.85546875" customWidth="1"/>
    <col min="5" max="5" width="10.140625" bestFit="1" customWidth="1"/>
    <col min="6" max="6" width="12.85546875" customWidth="1"/>
    <col min="14" max="14" width="8.28515625" customWidth="1"/>
    <col min="15" max="25" width="9.28515625" customWidth="1"/>
  </cols>
  <sheetData>
    <row r="1" spans="1:25" ht="15.75" thickBot="1">
      <c r="A1" s="1" t="s">
        <v>0</v>
      </c>
      <c r="B1" s="61"/>
      <c r="C1" s="14" t="s">
        <v>1</v>
      </c>
      <c r="D1" s="2"/>
      <c r="E1" s="3" t="s">
        <v>2</v>
      </c>
      <c r="F1" s="62"/>
      <c r="G1" s="4"/>
      <c r="H1" s="4"/>
      <c r="I1" s="4"/>
      <c r="J1" s="4"/>
      <c r="K1" s="4"/>
      <c r="L1" s="4"/>
      <c r="M1" s="4">
        <v>14</v>
      </c>
      <c r="N1" s="5">
        <f>F16</f>
        <v>0</v>
      </c>
      <c r="O1" s="6" t="s">
        <v>3</v>
      </c>
      <c r="P1" s="7" t="s">
        <v>4</v>
      </c>
      <c r="Q1" s="6" t="s">
        <v>5</v>
      </c>
      <c r="R1" s="6"/>
      <c r="S1" s="6" t="s">
        <v>6</v>
      </c>
      <c r="T1" s="6" t="s">
        <v>7</v>
      </c>
      <c r="U1" s="6" t="s">
        <v>8</v>
      </c>
      <c r="V1" s="6" t="s">
        <v>9</v>
      </c>
      <c r="W1" s="6" t="s">
        <v>10</v>
      </c>
      <c r="X1" s="6" t="s">
        <v>11</v>
      </c>
      <c r="Y1" s="6" t="s">
        <v>12</v>
      </c>
    </row>
    <row r="2" spans="1:25" ht="15.75" thickBot="1">
      <c r="A2" s="6" t="s">
        <v>13</v>
      </c>
      <c r="B2" s="6" t="s">
        <v>14</v>
      </c>
      <c r="C2" s="6" t="s">
        <v>6</v>
      </c>
      <c r="D2" s="6" t="s">
        <v>7</v>
      </c>
      <c r="E2" s="6" t="s">
        <v>9</v>
      </c>
      <c r="F2" s="6" t="s">
        <v>15</v>
      </c>
      <c r="G2" s="4"/>
      <c r="H2" s="4"/>
      <c r="I2" s="4"/>
      <c r="J2" s="4"/>
      <c r="K2" s="4"/>
      <c r="L2" s="4"/>
      <c r="M2" s="4"/>
      <c r="N2" s="8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>
      <c r="A3" s="92"/>
      <c r="B3" s="64"/>
      <c r="C3" s="65"/>
      <c r="D3" s="65"/>
      <c r="E3" s="66"/>
      <c r="F3" s="67">
        <f>(C3+D3)*E3</f>
        <v>0</v>
      </c>
      <c r="G3" s="4"/>
      <c r="H3" s="4"/>
      <c r="I3" s="4"/>
      <c r="J3" s="4"/>
      <c r="K3" s="4"/>
      <c r="L3" s="4"/>
      <c r="M3" s="4"/>
      <c r="N3" s="4"/>
      <c r="O3" s="4">
        <f>$B$1</f>
        <v>0</v>
      </c>
      <c r="P3" s="9">
        <f>$F$1</f>
        <v>0</v>
      </c>
      <c r="Q3" s="4">
        <f>A3</f>
        <v>0</v>
      </c>
      <c r="R3" s="2" t="s">
        <v>1</v>
      </c>
      <c r="S3" s="8">
        <f>C3</f>
        <v>0</v>
      </c>
      <c r="T3" s="8">
        <f>D3</f>
        <v>0</v>
      </c>
      <c r="U3" s="8"/>
      <c r="V3" s="53">
        <f>E3</f>
        <v>0</v>
      </c>
      <c r="W3" s="53">
        <f>S3*E3</f>
        <v>0</v>
      </c>
      <c r="X3" s="53">
        <f>T3*E3</f>
        <v>0</v>
      </c>
      <c r="Y3" s="53"/>
    </row>
    <row r="4" spans="1:25">
      <c r="A4" s="63" t="str">
        <f ca="1">IF(CELL("TYPE",B4)="b",$C$1,A3)</f>
        <v/>
      </c>
      <c r="B4" s="64"/>
      <c r="C4" s="65"/>
      <c r="D4" s="65"/>
      <c r="E4" s="66"/>
      <c r="F4" s="67">
        <f t="shared" ref="F4:F14" si="0">(C4+D4)*E4</f>
        <v>0</v>
      </c>
      <c r="G4" s="4"/>
      <c r="H4" s="4"/>
      <c r="I4" s="4"/>
      <c r="J4" s="4"/>
      <c r="K4" s="4"/>
      <c r="L4" s="4"/>
      <c r="M4" s="4"/>
      <c r="N4" s="4"/>
      <c r="O4" s="4">
        <f t="shared" ref="O4:O14" si="1">$B$1</f>
        <v>0</v>
      </c>
      <c r="P4" s="9">
        <f t="shared" ref="P4:P14" si="2">$F$1</f>
        <v>0</v>
      </c>
      <c r="Q4" s="4" t="str">
        <f t="shared" ref="Q4:Q14" ca="1" si="3">A4</f>
        <v/>
      </c>
      <c r="R4" s="2" t="s">
        <v>1</v>
      </c>
      <c r="S4" s="8">
        <f t="shared" ref="S4:T14" si="4">C4</f>
        <v>0</v>
      </c>
      <c r="T4" s="8">
        <f t="shared" si="4"/>
        <v>0</v>
      </c>
      <c r="U4" s="8"/>
      <c r="V4" s="53">
        <f t="shared" ref="V4:V14" si="5">E4</f>
        <v>0</v>
      </c>
      <c r="W4" s="53">
        <f t="shared" ref="W4:W14" si="6">S4*E4</f>
        <v>0</v>
      </c>
      <c r="X4" s="53">
        <f t="shared" ref="X4:X14" si="7">T4*E4</f>
        <v>0</v>
      </c>
      <c r="Y4" s="53"/>
    </row>
    <row r="5" spans="1:25">
      <c r="A5" s="63" t="str">
        <f t="shared" ref="A5:A14" ca="1" si="8">IF(CELL("TYPE",B5)="b",$C$1,A4)</f>
        <v/>
      </c>
      <c r="B5" s="64"/>
      <c r="C5" s="65"/>
      <c r="D5" s="65"/>
      <c r="E5" s="66"/>
      <c r="F5" s="67">
        <f t="shared" si="0"/>
        <v>0</v>
      </c>
      <c r="G5" s="4"/>
      <c r="H5" s="4"/>
      <c r="I5" s="4"/>
      <c r="J5" s="4"/>
      <c r="K5" s="4"/>
      <c r="L5" s="4"/>
      <c r="M5" s="4"/>
      <c r="N5" s="4"/>
      <c r="O5" s="4">
        <f t="shared" si="1"/>
        <v>0</v>
      </c>
      <c r="P5" s="9">
        <f t="shared" si="2"/>
        <v>0</v>
      </c>
      <c r="Q5" s="4" t="str">
        <f t="shared" ca="1" si="3"/>
        <v/>
      </c>
      <c r="R5" s="2" t="s">
        <v>1</v>
      </c>
      <c r="S5" s="8">
        <f t="shared" si="4"/>
        <v>0</v>
      </c>
      <c r="T5" s="8">
        <f t="shared" si="4"/>
        <v>0</v>
      </c>
      <c r="U5" s="8"/>
      <c r="V5" s="53">
        <f t="shared" si="5"/>
        <v>0</v>
      </c>
      <c r="W5" s="53">
        <f t="shared" si="6"/>
        <v>0</v>
      </c>
      <c r="X5" s="53">
        <f t="shared" si="7"/>
        <v>0</v>
      </c>
      <c r="Y5" s="53"/>
    </row>
    <row r="6" spans="1:25">
      <c r="A6" s="63" t="str">
        <f t="shared" ca="1" si="8"/>
        <v/>
      </c>
      <c r="B6" s="64"/>
      <c r="C6" s="65"/>
      <c r="D6" s="65"/>
      <c r="E6" s="66"/>
      <c r="F6" s="67">
        <f t="shared" si="0"/>
        <v>0</v>
      </c>
      <c r="G6" s="4"/>
      <c r="H6" s="4"/>
      <c r="I6" s="4"/>
      <c r="J6" s="4"/>
      <c r="K6" s="4"/>
      <c r="L6" s="4"/>
      <c r="M6" s="4"/>
      <c r="N6" s="4"/>
      <c r="O6" s="4">
        <f t="shared" si="1"/>
        <v>0</v>
      </c>
      <c r="P6" s="9">
        <f t="shared" si="2"/>
        <v>0</v>
      </c>
      <c r="Q6" s="4" t="str">
        <f t="shared" ca="1" si="3"/>
        <v/>
      </c>
      <c r="R6" s="2" t="s">
        <v>1</v>
      </c>
      <c r="S6" s="8">
        <f t="shared" si="4"/>
        <v>0</v>
      </c>
      <c r="T6" s="8">
        <f t="shared" si="4"/>
        <v>0</v>
      </c>
      <c r="U6" s="8"/>
      <c r="V6" s="53">
        <f t="shared" si="5"/>
        <v>0</v>
      </c>
      <c r="W6" s="53">
        <f t="shared" si="6"/>
        <v>0</v>
      </c>
      <c r="X6" s="53">
        <f t="shared" si="7"/>
        <v>0</v>
      </c>
      <c r="Y6" s="53"/>
    </row>
    <row r="7" spans="1:25">
      <c r="A7" s="63" t="str">
        <f t="shared" ca="1" si="8"/>
        <v/>
      </c>
      <c r="B7" s="64"/>
      <c r="C7" s="65"/>
      <c r="D7" s="65"/>
      <c r="E7" s="66"/>
      <c r="F7" s="67">
        <f t="shared" si="0"/>
        <v>0</v>
      </c>
      <c r="G7" s="4"/>
      <c r="H7" s="4"/>
      <c r="I7" s="4"/>
      <c r="J7" s="4"/>
      <c r="K7" s="4"/>
      <c r="L7" s="4"/>
      <c r="M7" s="4"/>
      <c r="N7" s="4"/>
      <c r="O7" s="4">
        <f t="shared" si="1"/>
        <v>0</v>
      </c>
      <c r="P7" s="9">
        <f t="shared" si="2"/>
        <v>0</v>
      </c>
      <c r="Q7" s="4" t="str">
        <f t="shared" ca="1" si="3"/>
        <v/>
      </c>
      <c r="R7" s="2" t="s">
        <v>1</v>
      </c>
      <c r="S7" s="8">
        <f t="shared" si="4"/>
        <v>0</v>
      </c>
      <c r="T7" s="8">
        <f t="shared" si="4"/>
        <v>0</v>
      </c>
      <c r="U7" s="8"/>
      <c r="V7" s="53">
        <f t="shared" si="5"/>
        <v>0</v>
      </c>
      <c r="W7" s="53">
        <f t="shared" si="6"/>
        <v>0</v>
      </c>
      <c r="X7" s="53">
        <f t="shared" si="7"/>
        <v>0</v>
      </c>
      <c r="Y7" s="53"/>
    </row>
    <row r="8" spans="1:25">
      <c r="A8" s="63" t="str">
        <f t="shared" ca="1" si="8"/>
        <v/>
      </c>
      <c r="B8" s="64"/>
      <c r="C8" s="65"/>
      <c r="D8" s="65"/>
      <c r="E8" s="66"/>
      <c r="F8" s="67">
        <f t="shared" si="0"/>
        <v>0</v>
      </c>
      <c r="G8" s="4"/>
      <c r="H8" s="4"/>
      <c r="I8" s="4"/>
      <c r="J8" s="4"/>
      <c r="K8" s="4"/>
      <c r="L8" s="4"/>
      <c r="M8" s="4"/>
      <c r="N8" s="4"/>
      <c r="O8" s="4">
        <f t="shared" si="1"/>
        <v>0</v>
      </c>
      <c r="P8" s="9">
        <f t="shared" si="2"/>
        <v>0</v>
      </c>
      <c r="Q8" s="4" t="str">
        <f t="shared" ca="1" si="3"/>
        <v/>
      </c>
      <c r="R8" s="2" t="s">
        <v>1</v>
      </c>
      <c r="S8" s="8">
        <f t="shared" si="4"/>
        <v>0</v>
      </c>
      <c r="T8" s="8">
        <f t="shared" si="4"/>
        <v>0</v>
      </c>
      <c r="U8" s="8"/>
      <c r="V8" s="53">
        <f t="shared" si="5"/>
        <v>0</v>
      </c>
      <c r="W8" s="53">
        <f t="shared" si="6"/>
        <v>0</v>
      </c>
      <c r="X8" s="53">
        <f t="shared" si="7"/>
        <v>0</v>
      </c>
      <c r="Y8" s="53"/>
    </row>
    <row r="9" spans="1:25">
      <c r="A9" s="63" t="str">
        <f t="shared" ca="1" si="8"/>
        <v/>
      </c>
      <c r="B9" s="64"/>
      <c r="C9" s="65"/>
      <c r="D9" s="65"/>
      <c r="E9" s="66"/>
      <c r="F9" s="67">
        <f t="shared" si="0"/>
        <v>0</v>
      </c>
      <c r="G9" s="4"/>
      <c r="H9" s="4"/>
      <c r="I9" s="4"/>
      <c r="J9" s="4"/>
      <c r="K9" s="4"/>
      <c r="L9" s="4"/>
      <c r="M9" s="4"/>
      <c r="N9" s="4"/>
      <c r="O9" s="4">
        <f t="shared" si="1"/>
        <v>0</v>
      </c>
      <c r="P9" s="9">
        <f t="shared" si="2"/>
        <v>0</v>
      </c>
      <c r="Q9" s="4" t="str">
        <f t="shared" ca="1" si="3"/>
        <v/>
      </c>
      <c r="R9" s="2" t="s">
        <v>1</v>
      </c>
      <c r="S9" s="8">
        <f t="shared" si="4"/>
        <v>0</v>
      </c>
      <c r="T9" s="8">
        <f t="shared" si="4"/>
        <v>0</v>
      </c>
      <c r="U9" s="8"/>
      <c r="V9" s="53">
        <f t="shared" si="5"/>
        <v>0</v>
      </c>
      <c r="W9" s="53">
        <f t="shared" si="6"/>
        <v>0</v>
      </c>
      <c r="X9" s="53">
        <f t="shared" si="7"/>
        <v>0</v>
      </c>
      <c r="Y9" s="53"/>
    </row>
    <row r="10" spans="1:25">
      <c r="A10" s="63" t="str">
        <f t="shared" ca="1" si="8"/>
        <v/>
      </c>
      <c r="B10" s="64"/>
      <c r="C10" s="65"/>
      <c r="D10" s="65"/>
      <c r="E10" s="66"/>
      <c r="F10" s="67">
        <f t="shared" si="0"/>
        <v>0</v>
      </c>
      <c r="G10" s="4"/>
      <c r="H10" s="4"/>
      <c r="I10" s="4"/>
      <c r="J10" s="4"/>
      <c r="K10" s="4"/>
      <c r="L10" s="4"/>
      <c r="M10" s="4"/>
      <c r="N10" s="4"/>
      <c r="O10" s="4">
        <f t="shared" si="1"/>
        <v>0</v>
      </c>
      <c r="P10" s="9">
        <f t="shared" si="2"/>
        <v>0</v>
      </c>
      <c r="Q10" s="4" t="str">
        <f t="shared" ca="1" si="3"/>
        <v/>
      </c>
      <c r="R10" s="2" t="s">
        <v>1</v>
      </c>
      <c r="S10" s="8">
        <f t="shared" si="4"/>
        <v>0</v>
      </c>
      <c r="T10" s="8">
        <f t="shared" si="4"/>
        <v>0</v>
      </c>
      <c r="U10" s="8"/>
      <c r="V10" s="53">
        <f t="shared" si="5"/>
        <v>0</v>
      </c>
      <c r="W10" s="53">
        <f t="shared" si="6"/>
        <v>0</v>
      </c>
      <c r="X10" s="53">
        <f t="shared" si="7"/>
        <v>0</v>
      </c>
      <c r="Y10" s="53"/>
    </row>
    <row r="11" spans="1:25">
      <c r="A11" s="63" t="str">
        <f t="shared" ca="1" si="8"/>
        <v/>
      </c>
      <c r="B11" s="64"/>
      <c r="C11" s="65"/>
      <c r="D11" s="65"/>
      <c r="E11" s="66"/>
      <c r="F11" s="67">
        <f t="shared" si="0"/>
        <v>0</v>
      </c>
      <c r="G11" s="4"/>
      <c r="H11" s="4"/>
      <c r="I11" s="4"/>
      <c r="J11" s="4"/>
      <c r="K11" s="4"/>
      <c r="L11" s="4"/>
      <c r="M11" s="4"/>
      <c r="N11" s="4"/>
      <c r="O11" s="4">
        <f t="shared" si="1"/>
        <v>0</v>
      </c>
      <c r="P11" s="9">
        <f t="shared" si="2"/>
        <v>0</v>
      </c>
      <c r="Q11" s="4" t="str">
        <f t="shared" ca="1" si="3"/>
        <v/>
      </c>
      <c r="R11" s="2" t="s">
        <v>1</v>
      </c>
      <c r="S11" s="8">
        <f t="shared" si="4"/>
        <v>0</v>
      </c>
      <c r="T11" s="8">
        <f t="shared" si="4"/>
        <v>0</v>
      </c>
      <c r="U11" s="8"/>
      <c r="V11" s="53">
        <f t="shared" si="5"/>
        <v>0</v>
      </c>
      <c r="W11" s="53">
        <f t="shared" si="6"/>
        <v>0</v>
      </c>
      <c r="X11" s="53">
        <f t="shared" si="7"/>
        <v>0</v>
      </c>
      <c r="Y11" s="53"/>
    </row>
    <row r="12" spans="1:25">
      <c r="A12" s="63" t="str">
        <f t="shared" ca="1" si="8"/>
        <v/>
      </c>
      <c r="B12" s="64"/>
      <c r="C12" s="65"/>
      <c r="D12" s="65"/>
      <c r="E12" s="66"/>
      <c r="F12" s="67">
        <f t="shared" si="0"/>
        <v>0</v>
      </c>
      <c r="G12" s="4"/>
      <c r="H12" s="4"/>
      <c r="I12" s="4"/>
      <c r="J12" s="4"/>
      <c r="K12" s="4"/>
      <c r="L12" s="4"/>
      <c r="M12" s="4"/>
      <c r="N12" s="4"/>
      <c r="O12" s="4">
        <f t="shared" si="1"/>
        <v>0</v>
      </c>
      <c r="P12" s="9">
        <f t="shared" si="2"/>
        <v>0</v>
      </c>
      <c r="Q12" s="4" t="str">
        <f t="shared" ca="1" si="3"/>
        <v/>
      </c>
      <c r="R12" s="2" t="s">
        <v>1</v>
      </c>
      <c r="S12" s="8">
        <f t="shared" si="4"/>
        <v>0</v>
      </c>
      <c r="T12" s="8">
        <f t="shared" si="4"/>
        <v>0</v>
      </c>
      <c r="U12" s="8"/>
      <c r="V12" s="53">
        <f t="shared" si="5"/>
        <v>0</v>
      </c>
      <c r="W12" s="53">
        <f t="shared" si="6"/>
        <v>0</v>
      </c>
      <c r="X12" s="53">
        <f t="shared" si="7"/>
        <v>0</v>
      </c>
      <c r="Y12" s="53"/>
    </row>
    <row r="13" spans="1:25">
      <c r="A13" s="63" t="str">
        <f t="shared" ca="1" si="8"/>
        <v/>
      </c>
      <c r="B13" s="64"/>
      <c r="C13" s="65"/>
      <c r="D13" s="65"/>
      <c r="E13" s="66"/>
      <c r="F13" s="67">
        <f t="shared" si="0"/>
        <v>0</v>
      </c>
      <c r="G13" s="4"/>
      <c r="H13" s="4"/>
      <c r="I13" s="4"/>
      <c r="J13" s="4"/>
      <c r="K13" s="4"/>
      <c r="L13" s="4"/>
      <c r="M13" s="4"/>
      <c r="N13" s="4"/>
      <c r="O13" s="4">
        <f t="shared" si="1"/>
        <v>0</v>
      </c>
      <c r="P13" s="9">
        <f t="shared" si="2"/>
        <v>0</v>
      </c>
      <c r="Q13" s="4" t="str">
        <f t="shared" ca="1" si="3"/>
        <v/>
      </c>
      <c r="R13" s="2" t="s">
        <v>1</v>
      </c>
      <c r="S13" s="8">
        <f t="shared" si="4"/>
        <v>0</v>
      </c>
      <c r="T13" s="8">
        <f t="shared" si="4"/>
        <v>0</v>
      </c>
      <c r="U13" s="8"/>
      <c r="V13" s="53">
        <f t="shared" si="5"/>
        <v>0</v>
      </c>
      <c r="W13" s="53">
        <f t="shared" si="6"/>
        <v>0</v>
      </c>
      <c r="X13" s="53">
        <f t="shared" si="7"/>
        <v>0</v>
      </c>
      <c r="Y13" s="53"/>
    </row>
    <row r="14" spans="1:25" ht="15.75" thickBot="1">
      <c r="A14" s="63" t="str">
        <f t="shared" ca="1" si="8"/>
        <v/>
      </c>
      <c r="B14" s="64"/>
      <c r="C14" s="65"/>
      <c r="D14" s="65"/>
      <c r="E14" s="66"/>
      <c r="F14" s="67">
        <f t="shared" si="0"/>
        <v>0</v>
      </c>
      <c r="G14" s="4"/>
      <c r="H14" s="4"/>
      <c r="I14" s="4"/>
      <c r="J14" s="4"/>
      <c r="K14" s="4"/>
      <c r="L14" s="4"/>
      <c r="M14" s="4"/>
      <c r="N14" s="4"/>
      <c r="O14" s="4">
        <f t="shared" si="1"/>
        <v>0</v>
      </c>
      <c r="P14" s="9">
        <f t="shared" si="2"/>
        <v>0</v>
      </c>
      <c r="Q14" s="4" t="str">
        <f t="shared" ca="1" si="3"/>
        <v/>
      </c>
      <c r="R14" s="2" t="s">
        <v>1</v>
      </c>
      <c r="S14" s="8">
        <f t="shared" si="4"/>
        <v>0</v>
      </c>
      <c r="T14" s="8">
        <f t="shared" si="4"/>
        <v>0</v>
      </c>
      <c r="U14" s="8"/>
      <c r="V14" s="53">
        <f t="shared" si="5"/>
        <v>0</v>
      </c>
      <c r="W14" s="53">
        <f t="shared" si="6"/>
        <v>0</v>
      </c>
      <c r="X14" s="53">
        <f t="shared" si="7"/>
        <v>0</v>
      </c>
      <c r="Y14" s="53"/>
    </row>
    <row r="15" spans="1:25" ht="15.75" thickBot="1">
      <c r="A15" s="69"/>
      <c r="B15" s="70"/>
      <c r="C15" s="70"/>
      <c r="D15" s="70"/>
      <c r="E15" s="71"/>
      <c r="F15" s="72"/>
      <c r="G15" s="69"/>
      <c r="H15" s="73"/>
      <c r="I15" s="73"/>
      <c r="J15" s="73"/>
      <c r="K15" s="73"/>
      <c r="L15" s="73"/>
      <c r="M15" s="73"/>
      <c r="N15" s="73"/>
      <c r="O15" s="73"/>
      <c r="P15" s="74"/>
      <c r="Q15" s="73"/>
      <c r="R15" s="73"/>
      <c r="S15" s="75"/>
      <c r="T15" s="75"/>
      <c r="U15" s="73"/>
      <c r="V15" s="73"/>
      <c r="W15" s="73"/>
      <c r="X15" s="73"/>
      <c r="Y15" s="76"/>
    </row>
    <row r="16" spans="1:25" ht="15.75" thickBot="1">
      <c r="A16" s="4"/>
      <c r="B16" s="4"/>
      <c r="C16" s="4"/>
      <c r="D16" s="4"/>
      <c r="E16" s="4"/>
      <c r="F16" s="68">
        <f>SUM(F3:F15)</f>
        <v>0</v>
      </c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spans="1: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spans="1: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spans="1: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spans="1: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Y78"/>
  <sheetViews>
    <sheetView tabSelected="1" workbookViewId="0"/>
  </sheetViews>
  <sheetFormatPr defaultColWidth="9.85546875" defaultRowHeight="12.75"/>
  <cols>
    <col min="1" max="1" width="8.85546875" style="4" customWidth="1"/>
    <col min="2" max="2" width="10.85546875" style="4" customWidth="1"/>
    <col min="3" max="3" width="45.85546875" style="4" customWidth="1"/>
    <col min="4" max="4" width="0.42578125" style="4" customWidth="1"/>
    <col min="5" max="7" width="9.85546875" style="4" customWidth="1"/>
    <col min="8" max="10" width="12.85546875" style="4" customWidth="1"/>
    <col min="11" max="11" width="12.7109375" style="4" customWidth="1"/>
    <col min="12" max="52" width="9.85546875" style="4"/>
    <col min="53" max="53" width="11.85546875" style="4" customWidth="1"/>
    <col min="54" max="54" width="10.85546875" style="4" customWidth="1"/>
    <col min="55" max="55" width="45.85546875" style="4" customWidth="1"/>
    <col min="56" max="56" width="6.85546875" style="4" customWidth="1"/>
    <col min="57" max="57" width="10.85546875" style="4" customWidth="1"/>
    <col min="58" max="58" width="12.85546875" style="4" customWidth="1"/>
    <col min="59" max="59" width="15.85546875" style="4" customWidth="1"/>
    <col min="60" max="60" width="10.85546875" style="4" customWidth="1"/>
    <col min="61" max="61" width="12.85546875" style="4" customWidth="1"/>
    <col min="62" max="63" width="15.85546875" style="4" customWidth="1"/>
    <col min="64" max="16384" width="9.85546875" style="4"/>
  </cols>
  <sheetData>
    <row r="1" spans="1:77" ht="16.5" thickBot="1">
      <c r="B1" s="11" t="s">
        <v>16</v>
      </c>
      <c r="C1" s="55"/>
      <c r="D1" s="12"/>
      <c r="E1" s="12"/>
      <c r="F1" s="12"/>
      <c r="G1" s="12"/>
      <c r="H1" s="12"/>
      <c r="K1" s="13"/>
      <c r="AA1" s="1" t="s">
        <v>0</v>
      </c>
      <c r="AB1" s="61"/>
      <c r="AC1" s="14" t="s">
        <v>1</v>
      </c>
      <c r="AD1" s="2"/>
      <c r="AE1" s="3" t="s">
        <v>2</v>
      </c>
      <c r="AF1" s="62"/>
      <c r="AM1" s="4">
        <v>14</v>
      </c>
      <c r="AN1" s="5">
        <f>AF16</f>
        <v>0</v>
      </c>
      <c r="AO1" s="6" t="s">
        <v>3</v>
      </c>
      <c r="AP1" s="7" t="s">
        <v>4</v>
      </c>
      <c r="AQ1" s="6" t="s">
        <v>5</v>
      </c>
      <c r="AR1" s="6"/>
      <c r="AS1" s="6" t="s">
        <v>6</v>
      </c>
      <c r="AT1" s="6" t="s">
        <v>7</v>
      </c>
      <c r="AU1" s="6" t="s">
        <v>8</v>
      </c>
      <c r="AV1" s="6" t="s">
        <v>9</v>
      </c>
      <c r="AW1" s="6" t="s">
        <v>10</v>
      </c>
      <c r="AX1" s="6" t="s">
        <v>11</v>
      </c>
      <c r="AY1" s="6" t="s">
        <v>12</v>
      </c>
      <c r="BA1" s="15"/>
      <c r="BB1" s="15"/>
      <c r="BC1" s="16" t="s">
        <v>17</v>
      </c>
      <c r="BD1" s="15"/>
      <c r="BE1" s="15"/>
      <c r="BF1" s="17"/>
      <c r="BG1" s="18"/>
      <c r="BH1" s="19"/>
      <c r="BI1" s="17"/>
      <c r="BJ1" s="17"/>
      <c r="BK1" s="20"/>
      <c r="BL1" s="21"/>
      <c r="BM1" s="22">
        <v>38</v>
      </c>
      <c r="BN1" s="23"/>
      <c r="BO1" s="6" t="s">
        <v>3</v>
      </c>
      <c r="BP1" s="7" t="s">
        <v>4</v>
      </c>
      <c r="BQ1" s="6" t="s">
        <v>5</v>
      </c>
      <c r="BR1" s="24" t="s">
        <v>1</v>
      </c>
      <c r="BS1" s="6" t="s">
        <v>6</v>
      </c>
      <c r="BT1" s="6" t="s">
        <v>7</v>
      </c>
      <c r="BU1" s="6" t="s">
        <v>8</v>
      </c>
      <c r="BV1" s="6" t="s">
        <v>9</v>
      </c>
      <c r="BW1" s="6" t="s">
        <v>10</v>
      </c>
      <c r="BX1" s="6" t="s">
        <v>11</v>
      </c>
      <c r="BY1" s="6" t="s">
        <v>12</v>
      </c>
    </row>
    <row r="2" spans="1:77" ht="16.5" thickBot="1">
      <c r="B2" s="4" t="s">
        <v>18</v>
      </c>
      <c r="C2" s="55"/>
      <c r="D2" s="12"/>
      <c r="E2" s="12"/>
      <c r="F2" s="12"/>
      <c r="G2" s="12"/>
      <c r="H2" s="13" t="s">
        <v>19</v>
      </c>
      <c r="K2" s="13">
        <v>0</v>
      </c>
      <c r="AA2" s="6" t="s">
        <v>13</v>
      </c>
      <c r="AB2" s="6" t="s">
        <v>14</v>
      </c>
      <c r="AC2" s="6" t="s">
        <v>6</v>
      </c>
      <c r="AD2" s="6" t="s">
        <v>7</v>
      </c>
      <c r="AE2" s="6" t="s">
        <v>9</v>
      </c>
      <c r="AF2" s="6" t="s">
        <v>15</v>
      </c>
      <c r="AN2" s="8"/>
      <c r="BA2" s="15"/>
      <c r="BB2" s="15"/>
      <c r="BC2" s="77"/>
      <c r="BD2" s="78"/>
      <c r="BE2" s="78"/>
      <c r="BF2" s="79"/>
      <c r="BG2" s="15"/>
      <c r="BH2" s="15"/>
      <c r="BI2" s="17"/>
      <c r="BJ2" s="17"/>
      <c r="BK2" s="20"/>
      <c r="BL2" s="25"/>
      <c r="BM2" s="26"/>
      <c r="BN2" s="27"/>
    </row>
    <row r="3" spans="1:77" ht="16.5" thickBot="1">
      <c r="B3" s="11" t="s">
        <v>20</v>
      </c>
      <c r="C3" s="55"/>
      <c r="E3" s="56">
        <f>SUM(E6:E7)</f>
        <v>0</v>
      </c>
      <c r="F3" s="56">
        <f>SUM(F6:F7)</f>
        <v>0</v>
      </c>
      <c r="G3" s="56">
        <f>E3-F3</f>
        <v>0</v>
      </c>
      <c r="H3" s="57">
        <f>IF(G3&gt;0,K3/G3,0)</f>
        <v>0</v>
      </c>
      <c r="I3" s="57">
        <f>SUM(I6:I7)</f>
        <v>0</v>
      </c>
      <c r="J3" s="57">
        <f>SUM(J6:J7)</f>
        <v>0</v>
      </c>
      <c r="K3" s="57">
        <f>I3-J3</f>
        <v>0</v>
      </c>
      <c r="AA3" s="92"/>
      <c r="AB3" s="64"/>
      <c r="AC3" s="65"/>
      <c r="AD3" s="65"/>
      <c r="AE3" s="66"/>
      <c r="AF3" s="67">
        <f>(AC3+AD3)*AE3</f>
        <v>0</v>
      </c>
      <c r="AO3" s="4" t="str">
        <f>$B$1</f>
        <v>ШИФРА:</v>
      </c>
      <c r="AP3" s="9">
        <f>$F$1</f>
        <v>0</v>
      </c>
      <c r="AQ3" s="4">
        <f>AA3</f>
        <v>0</v>
      </c>
      <c r="AR3" s="2" t="s">
        <v>1</v>
      </c>
      <c r="AS3" s="8">
        <f>AC3</f>
        <v>0</v>
      </c>
      <c r="AT3" s="8">
        <f>AD3</f>
        <v>0</v>
      </c>
      <c r="AU3" s="8"/>
      <c r="AV3" s="53">
        <f>AE3</f>
        <v>0</v>
      </c>
      <c r="AW3" s="53">
        <f>AS3*AE3</f>
        <v>0</v>
      </c>
      <c r="AX3" s="53">
        <f>AT3*AE3</f>
        <v>0</v>
      </c>
      <c r="AY3" s="53"/>
      <c r="BA3" s="15"/>
      <c r="BB3" s="15"/>
      <c r="BC3" s="15"/>
      <c r="BD3" s="15"/>
      <c r="BE3" s="15"/>
      <c r="BF3" s="15"/>
      <c r="BG3" s="15"/>
      <c r="BH3" s="15"/>
      <c r="BI3" s="17"/>
      <c r="BJ3" s="17"/>
      <c r="BK3" s="15"/>
      <c r="BL3" s="21"/>
      <c r="BM3" s="25"/>
      <c r="BN3" s="27"/>
    </row>
    <row r="4" spans="1:77" ht="13.15" customHeight="1" thickBot="1">
      <c r="I4" s="28"/>
      <c r="J4" s="28"/>
      <c r="K4" s="28"/>
      <c r="AA4" s="63">
        <f ca="1">IF(CELL("TYPE",AB4)="b",$C$1,AA3)</f>
        <v>0</v>
      </c>
      <c r="AB4" s="64"/>
      <c r="AC4" s="65"/>
      <c r="AD4" s="65"/>
      <c r="AE4" s="66"/>
      <c r="AF4" s="67">
        <f t="shared" ref="AF4:AF14" si="0">(AC4+AD4)*AE4</f>
        <v>0</v>
      </c>
      <c r="AO4" s="4" t="str">
        <f t="shared" ref="AO4:AO14" si="1">$B$1</f>
        <v>ШИФРА:</v>
      </c>
      <c r="AP4" s="9">
        <f t="shared" ref="AP4:AP14" si="2">$F$1</f>
        <v>0</v>
      </c>
      <c r="AQ4" s="4">
        <f t="shared" ref="AQ4:AQ14" ca="1" si="3">AA4</f>
        <v>0</v>
      </c>
      <c r="AR4" s="2" t="s">
        <v>1</v>
      </c>
      <c r="AS4" s="8">
        <f t="shared" ref="AS4:AT14" si="4">AC4</f>
        <v>0</v>
      </c>
      <c r="AT4" s="8">
        <f t="shared" si="4"/>
        <v>0</v>
      </c>
      <c r="AU4" s="8"/>
      <c r="AV4" s="53">
        <f t="shared" ref="AV4:AV14" si="5">AE4</f>
        <v>0</v>
      </c>
      <c r="AW4" s="53">
        <f t="shared" ref="AW4:AW14" si="6">AS4*AE4</f>
        <v>0</v>
      </c>
      <c r="AX4" s="53">
        <f t="shared" ref="AX4:AX14" si="7">AT4*AE4</f>
        <v>0</v>
      </c>
      <c r="AY4" s="53"/>
      <c r="BA4" s="15"/>
      <c r="BB4" s="16" t="s">
        <v>21</v>
      </c>
      <c r="BC4" s="15"/>
      <c r="BD4" s="15"/>
      <c r="BE4" s="15"/>
      <c r="BF4" s="15"/>
      <c r="BG4" s="15"/>
      <c r="BH4" s="15"/>
      <c r="BI4" s="15"/>
      <c r="BJ4" s="15"/>
      <c r="BK4" s="15"/>
      <c r="BL4" s="25"/>
      <c r="BM4" s="25"/>
      <c r="BN4" s="27"/>
    </row>
    <row r="5" spans="1:77" ht="13.5" thickBot="1">
      <c r="A5" s="58" t="s">
        <v>3</v>
      </c>
      <c r="B5" s="59" t="s">
        <v>4</v>
      </c>
      <c r="C5" s="58" t="s">
        <v>5</v>
      </c>
      <c r="D5" s="60" t="s">
        <v>1</v>
      </c>
      <c r="E5" s="58" t="s">
        <v>6</v>
      </c>
      <c r="F5" s="58" t="s">
        <v>7</v>
      </c>
      <c r="G5" s="58" t="s">
        <v>8</v>
      </c>
      <c r="H5" s="58" t="s">
        <v>9</v>
      </c>
      <c r="I5" s="58" t="s">
        <v>10</v>
      </c>
      <c r="J5" s="58" t="s">
        <v>11</v>
      </c>
      <c r="K5" s="58" t="s">
        <v>12</v>
      </c>
      <c r="AA5" s="63">
        <f t="shared" ref="AA5:AA14" ca="1" si="8">IF(CELL("TYPE",AB5)="b",$C$1,AA4)</f>
        <v>0</v>
      </c>
      <c r="AB5" s="64"/>
      <c r="AC5" s="65"/>
      <c r="AD5" s="65"/>
      <c r="AE5" s="66"/>
      <c r="AF5" s="67">
        <f t="shared" si="0"/>
        <v>0</v>
      </c>
      <c r="AO5" s="4" t="str">
        <f t="shared" si="1"/>
        <v>ШИФРА:</v>
      </c>
      <c r="AP5" s="9">
        <f t="shared" si="2"/>
        <v>0</v>
      </c>
      <c r="AQ5" s="4">
        <f t="shared" ca="1" si="3"/>
        <v>0</v>
      </c>
      <c r="AR5" s="2" t="s">
        <v>1</v>
      </c>
      <c r="AS5" s="8">
        <f t="shared" si="4"/>
        <v>0</v>
      </c>
      <c r="AT5" s="8">
        <f t="shared" si="4"/>
        <v>0</v>
      </c>
      <c r="AU5" s="8"/>
      <c r="AV5" s="53">
        <f t="shared" si="5"/>
        <v>0</v>
      </c>
      <c r="AW5" s="53">
        <f t="shared" si="6"/>
        <v>0</v>
      </c>
      <c r="AX5" s="53">
        <f t="shared" si="7"/>
        <v>0</v>
      </c>
      <c r="AY5" s="53"/>
      <c r="BA5" s="16" t="s">
        <v>22</v>
      </c>
      <c r="BB5" s="80">
        <f ca="1">NOW()</f>
        <v>42405.034320601852</v>
      </c>
      <c r="BC5" s="29" t="s">
        <v>23</v>
      </c>
      <c r="BD5" s="15"/>
      <c r="BE5" s="81"/>
      <c r="BF5" s="15"/>
      <c r="BG5" s="15"/>
      <c r="BH5" s="15"/>
      <c r="BI5" s="15"/>
      <c r="BJ5" s="15"/>
      <c r="BK5" s="15"/>
      <c r="BL5" s="27"/>
      <c r="BM5" s="25"/>
      <c r="BN5" s="27"/>
      <c r="BO5" s="26"/>
    </row>
    <row r="6" spans="1:77" ht="13.5" thickBot="1">
      <c r="AA6" s="63">
        <f t="shared" ca="1" si="8"/>
        <v>0</v>
      </c>
      <c r="AB6" s="64"/>
      <c r="AC6" s="65"/>
      <c r="AD6" s="65"/>
      <c r="AE6" s="66"/>
      <c r="AF6" s="67">
        <f t="shared" si="0"/>
        <v>0</v>
      </c>
      <c r="AO6" s="4" t="str">
        <f t="shared" si="1"/>
        <v>ШИФРА:</v>
      </c>
      <c r="AP6" s="9">
        <f t="shared" si="2"/>
        <v>0</v>
      </c>
      <c r="AQ6" s="4">
        <f t="shared" ca="1" si="3"/>
        <v>0</v>
      </c>
      <c r="AR6" s="2" t="s">
        <v>1</v>
      </c>
      <c r="AS6" s="8">
        <f t="shared" si="4"/>
        <v>0</v>
      </c>
      <c r="AT6" s="8">
        <f t="shared" si="4"/>
        <v>0</v>
      </c>
      <c r="AU6" s="8"/>
      <c r="AV6" s="53">
        <f t="shared" si="5"/>
        <v>0</v>
      </c>
      <c r="AW6" s="53">
        <f t="shared" si="6"/>
        <v>0</v>
      </c>
      <c r="AX6" s="53">
        <f t="shared" si="7"/>
        <v>0</v>
      </c>
      <c r="AY6" s="53"/>
      <c r="BL6" s="27"/>
      <c r="BM6" s="23"/>
      <c r="BN6" s="27"/>
    </row>
    <row r="7" spans="1:77" ht="15">
      <c r="AA7" s="63">
        <f t="shared" ca="1" si="8"/>
        <v>0</v>
      </c>
      <c r="AB7" s="64"/>
      <c r="AC7" s="65"/>
      <c r="AD7" s="65"/>
      <c r="AE7" s="66"/>
      <c r="AF7" s="67">
        <f t="shared" si="0"/>
        <v>0</v>
      </c>
      <c r="AO7" s="4" t="str">
        <f t="shared" si="1"/>
        <v>ШИФРА:</v>
      </c>
      <c r="AP7" s="9">
        <f t="shared" si="2"/>
        <v>0</v>
      </c>
      <c r="AQ7" s="4">
        <f t="shared" ca="1" si="3"/>
        <v>0</v>
      </c>
      <c r="AR7" s="2" t="s">
        <v>1</v>
      </c>
      <c r="AS7" s="8">
        <f t="shared" si="4"/>
        <v>0</v>
      </c>
      <c r="AT7" s="8">
        <f t="shared" si="4"/>
        <v>0</v>
      </c>
      <c r="AU7" s="8"/>
      <c r="AV7" s="53">
        <f t="shared" si="5"/>
        <v>0</v>
      </c>
      <c r="AW7" s="53">
        <f t="shared" si="6"/>
        <v>0</v>
      </c>
      <c r="AX7" s="53">
        <f t="shared" si="7"/>
        <v>0</v>
      </c>
      <c r="AY7" s="53"/>
      <c r="BA7" s="97" t="s">
        <v>26</v>
      </c>
      <c r="BB7" s="99" t="s">
        <v>27</v>
      </c>
      <c r="BC7" s="101" t="s">
        <v>28</v>
      </c>
      <c r="BD7" s="99" t="s">
        <v>29</v>
      </c>
      <c r="BE7" s="101" t="s">
        <v>30</v>
      </c>
      <c r="BF7" s="95" t="s">
        <v>24</v>
      </c>
      <c r="BG7" s="96"/>
      <c r="BH7" s="93" t="s">
        <v>64</v>
      </c>
      <c r="BI7" s="95" t="s">
        <v>25</v>
      </c>
      <c r="BJ7" s="96"/>
      <c r="BK7" s="93" t="s">
        <v>65</v>
      </c>
      <c r="BL7" s="27"/>
      <c r="BM7" s="27"/>
    </row>
    <row r="8" spans="1:77" ht="27" customHeight="1" thickBot="1">
      <c r="AA8" s="63">
        <f t="shared" ca="1" si="8"/>
        <v>0</v>
      </c>
      <c r="AB8" s="64"/>
      <c r="AC8" s="65"/>
      <c r="AD8" s="65"/>
      <c r="AE8" s="66"/>
      <c r="AF8" s="67">
        <f t="shared" si="0"/>
        <v>0</v>
      </c>
      <c r="AO8" s="4" t="str">
        <f t="shared" si="1"/>
        <v>ШИФРА:</v>
      </c>
      <c r="AP8" s="9">
        <f t="shared" si="2"/>
        <v>0</v>
      </c>
      <c r="AQ8" s="4">
        <f t="shared" ca="1" si="3"/>
        <v>0</v>
      </c>
      <c r="AR8" s="2" t="s">
        <v>1</v>
      </c>
      <c r="AS8" s="8">
        <f t="shared" si="4"/>
        <v>0</v>
      </c>
      <c r="AT8" s="8">
        <f t="shared" si="4"/>
        <v>0</v>
      </c>
      <c r="AU8" s="8"/>
      <c r="AV8" s="53">
        <f t="shared" si="5"/>
        <v>0</v>
      </c>
      <c r="AW8" s="53">
        <f t="shared" si="6"/>
        <v>0</v>
      </c>
      <c r="AX8" s="53">
        <f t="shared" si="7"/>
        <v>0</v>
      </c>
      <c r="AY8" s="53"/>
      <c r="BA8" s="98"/>
      <c r="BB8" s="100"/>
      <c r="BC8" s="102"/>
      <c r="BD8" s="100"/>
      <c r="BE8" s="102"/>
      <c r="BF8" s="33" t="s">
        <v>31</v>
      </c>
      <c r="BG8" s="31" t="s">
        <v>32</v>
      </c>
      <c r="BH8" s="94"/>
      <c r="BI8" s="32" t="s">
        <v>33</v>
      </c>
      <c r="BJ8" s="33" t="s">
        <v>34</v>
      </c>
      <c r="BK8" s="94"/>
      <c r="BL8" s="27"/>
      <c r="BM8" s="23"/>
      <c r="BN8" s="27"/>
    </row>
    <row r="9" spans="1:77" ht="13.5" thickBot="1">
      <c r="AA9" s="63">
        <f t="shared" ca="1" si="8"/>
        <v>0</v>
      </c>
      <c r="AB9" s="64"/>
      <c r="AC9" s="65"/>
      <c r="AD9" s="65"/>
      <c r="AE9" s="66"/>
      <c r="AF9" s="67">
        <f t="shared" si="0"/>
        <v>0</v>
      </c>
      <c r="AO9" s="4" t="str">
        <f t="shared" si="1"/>
        <v>ШИФРА:</v>
      </c>
      <c r="AP9" s="9">
        <f t="shared" si="2"/>
        <v>0</v>
      </c>
      <c r="AQ9" s="4">
        <f t="shared" ca="1" si="3"/>
        <v>0</v>
      </c>
      <c r="AR9" s="2" t="s">
        <v>1</v>
      </c>
      <c r="AS9" s="8">
        <f t="shared" si="4"/>
        <v>0</v>
      </c>
      <c r="AT9" s="8">
        <f t="shared" si="4"/>
        <v>0</v>
      </c>
      <c r="AU9" s="8"/>
      <c r="AV9" s="53">
        <f t="shared" si="5"/>
        <v>0</v>
      </c>
      <c r="AW9" s="53">
        <f t="shared" si="6"/>
        <v>0</v>
      </c>
      <c r="AX9" s="53">
        <f t="shared" si="7"/>
        <v>0</v>
      </c>
      <c r="AY9" s="53"/>
      <c r="BL9" s="23"/>
      <c r="BM9" s="27"/>
      <c r="BN9" s="34"/>
    </row>
    <row r="10" spans="1:77" ht="13.5" thickBot="1">
      <c r="AA10" s="63">
        <f t="shared" ca="1" si="8"/>
        <v>0</v>
      </c>
      <c r="AB10" s="64"/>
      <c r="AC10" s="65"/>
      <c r="AD10" s="65"/>
      <c r="AE10" s="66"/>
      <c r="AF10" s="67">
        <f t="shared" si="0"/>
        <v>0</v>
      </c>
      <c r="AO10" s="4" t="str">
        <f t="shared" si="1"/>
        <v>ШИФРА:</v>
      </c>
      <c r="AP10" s="9">
        <f t="shared" si="2"/>
        <v>0</v>
      </c>
      <c r="AQ10" s="4">
        <f t="shared" ca="1" si="3"/>
        <v>0</v>
      </c>
      <c r="AR10" s="2" t="s">
        <v>1</v>
      </c>
      <c r="AS10" s="8">
        <f t="shared" si="4"/>
        <v>0</v>
      </c>
      <c r="AT10" s="8">
        <f t="shared" si="4"/>
        <v>0</v>
      </c>
      <c r="AU10" s="8"/>
      <c r="AV10" s="53">
        <f t="shared" si="5"/>
        <v>0</v>
      </c>
      <c r="AW10" s="53">
        <f t="shared" si="6"/>
        <v>0</v>
      </c>
      <c r="AX10" s="53">
        <f t="shared" si="7"/>
        <v>0</v>
      </c>
      <c r="AY10" s="53"/>
      <c r="BA10" s="35" t="s">
        <v>35</v>
      </c>
      <c r="BB10" s="35" t="s">
        <v>36</v>
      </c>
      <c r="BC10" s="35" t="s">
        <v>37</v>
      </c>
      <c r="BD10" s="35" t="s">
        <v>38</v>
      </c>
      <c r="BE10" s="35" t="s">
        <v>39</v>
      </c>
      <c r="BF10" s="35" t="s">
        <v>40</v>
      </c>
      <c r="BG10" s="35" t="s">
        <v>41</v>
      </c>
      <c r="BH10" s="35" t="s">
        <v>42</v>
      </c>
      <c r="BI10" s="35" t="s">
        <v>43</v>
      </c>
      <c r="BJ10" s="35" t="s">
        <v>44</v>
      </c>
      <c r="BK10" s="35" t="s">
        <v>45</v>
      </c>
      <c r="BL10" s="34"/>
      <c r="BO10" s="34" t="str">
        <f t="shared" ref="BO10:BO38" si="9">$E$5</f>
        <v>Улаз</v>
      </c>
      <c r="BP10" s="36" t="str">
        <f t="shared" ref="BP10:BP38" si="10">$B$5</f>
        <v>Датум</v>
      </c>
      <c r="BQ10" s="37" t="s">
        <v>46</v>
      </c>
      <c r="BR10" s="38" t="s">
        <v>1</v>
      </c>
      <c r="BS10" s="34">
        <v>-1</v>
      </c>
      <c r="BT10" s="4">
        <v>0</v>
      </c>
      <c r="BU10" s="34">
        <v>0</v>
      </c>
      <c r="BV10" s="39">
        <v>0</v>
      </c>
      <c r="BW10" s="39">
        <v>0</v>
      </c>
      <c r="BX10" s="39">
        <v>0</v>
      </c>
      <c r="BY10" s="39">
        <v>0</v>
      </c>
    </row>
    <row r="11" spans="1:77">
      <c r="AA11" s="63">
        <f t="shared" ca="1" si="8"/>
        <v>0</v>
      </c>
      <c r="AB11" s="64"/>
      <c r="AC11" s="65"/>
      <c r="AD11" s="65"/>
      <c r="AE11" s="66"/>
      <c r="AF11" s="67">
        <f t="shared" si="0"/>
        <v>0</v>
      </c>
      <c r="AO11" s="4" t="str">
        <f t="shared" si="1"/>
        <v>ШИФРА:</v>
      </c>
      <c r="AP11" s="9">
        <f t="shared" si="2"/>
        <v>0</v>
      </c>
      <c r="AQ11" s="4">
        <f t="shared" ca="1" si="3"/>
        <v>0</v>
      </c>
      <c r="AR11" s="2" t="s">
        <v>1</v>
      </c>
      <c r="AS11" s="8">
        <f t="shared" si="4"/>
        <v>0</v>
      </c>
      <c r="AT11" s="8">
        <f t="shared" si="4"/>
        <v>0</v>
      </c>
      <c r="AU11" s="8"/>
      <c r="AV11" s="53">
        <f t="shared" si="5"/>
        <v>0</v>
      </c>
      <c r="AW11" s="53">
        <f t="shared" si="6"/>
        <v>0</v>
      </c>
      <c r="AX11" s="53">
        <f t="shared" si="7"/>
        <v>0</v>
      </c>
      <c r="AY11" s="53"/>
      <c r="BA11" s="40"/>
      <c r="BB11" s="82"/>
      <c r="BC11" s="40"/>
      <c r="BD11" s="40"/>
      <c r="BE11" s="30"/>
      <c r="BF11" s="41"/>
      <c r="BG11" s="41">
        <f t="shared" ref="BG11:BG38" si="11">BE11*BF11</f>
        <v>0</v>
      </c>
      <c r="BH11" s="84">
        <f t="shared" ref="BH11:BH38" si="12">IF(BF11&gt;0,BI11/BF11,0)</f>
        <v>0</v>
      </c>
      <c r="BI11" s="85">
        <f t="shared" ref="BI11:BI38" si="13">BF11*BH11</f>
        <v>0</v>
      </c>
      <c r="BJ11" s="41">
        <f t="shared" ref="BJ11:BJ38" si="14">BE11*BI11</f>
        <v>0</v>
      </c>
      <c r="BK11" s="41">
        <f t="shared" ref="BK11:BK38" si="15">BJ11-BG11</f>
        <v>0</v>
      </c>
      <c r="BL11" s="26"/>
      <c r="BN11" s="34"/>
      <c r="BO11" s="34" t="str">
        <f t="shared" si="9"/>
        <v>Улаз</v>
      </c>
      <c r="BP11" s="36" t="str">
        <f t="shared" si="10"/>
        <v>Датум</v>
      </c>
      <c r="BQ11" s="37" t="s">
        <v>46</v>
      </c>
      <c r="BR11" s="38" t="s">
        <v>1</v>
      </c>
      <c r="BS11" s="34">
        <v>1</v>
      </c>
      <c r="BT11" s="4">
        <v>0</v>
      </c>
      <c r="BU11" s="34">
        <v>0</v>
      </c>
      <c r="BV11" s="39">
        <f t="shared" ref="BV11:BV38" si="16">BK11</f>
        <v>0</v>
      </c>
      <c r="BW11" s="39">
        <v>0</v>
      </c>
      <c r="BX11" s="39">
        <v>0</v>
      </c>
      <c r="BY11" s="39">
        <v>0</v>
      </c>
    </row>
    <row r="12" spans="1:77">
      <c r="AA12" s="63">
        <f t="shared" ca="1" si="8"/>
        <v>0</v>
      </c>
      <c r="AB12" s="64"/>
      <c r="AC12" s="65"/>
      <c r="AD12" s="65"/>
      <c r="AE12" s="66"/>
      <c r="AF12" s="67">
        <f t="shared" si="0"/>
        <v>0</v>
      </c>
      <c r="AO12" s="4" t="str">
        <f t="shared" si="1"/>
        <v>ШИФРА:</v>
      </c>
      <c r="AP12" s="9">
        <f t="shared" si="2"/>
        <v>0</v>
      </c>
      <c r="AQ12" s="4">
        <f t="shared" ca="1" si="3"/>
        <v>0</v>
      </c>
      <c r="AR12" s="2" t="s">
        <v>1</v>
      </c>
      <c r="AS12" s="8">
        <f t="shared" si="4"/>
        <v>0</v>
      </c>
      <c r="AT12" s="8">
        <f t="shared" si="4"/>
        <v>0</v>
      </c>
      <c r="AU12" s="8"/>
      <c r="AV12" s="53">
        <f t="shared" si="5"/>
        <v>0</v>
      </c>
      <c r="AW12" s="53">
        <f t="shared" si="6"/>
        <v>0</v>
      </c>
      <c r="AX12" s="53">
        <f t="shared" si="7"/>
        <v>0</v>
      </c>
      <c r="AY12" s="53"/>
      <c r="BA12" s="42"/>
      <c r="BB12" s="83"/>
      <c r="BC12" s="42"/>
      <c r="BD12" s="42"/>
      <c r="BE12" s="43"/>
      <c r="BF12" s="44"/>
      <c r="BG12" s="44">
        <f t="shared" si="11"/>
        <v>0</v>
      </c>
      <c r="BH12" s="86">
        <f t="shared" si="12"/>
        <v>0</v>
      </c>
      <c r="BI12" s="87">
        <f t="shared" si="13"/>
        <v>0</v>
      </c>
      <c r="BJ12" s="44">
        <f t="shared" si="14"/>
        <v>0</v>
      </c>
      <c r="BK12" s="44">
        <f t="shared" si="15"/>
        <v>0</v>
      </c>
      <c r="BO12" s="34" t="str">
        <f t="shared" si="9"/>
        <v>Улаз</v>
      </c>
      <c r="BP12" s="36" t="str">
        <f t="shared" si="10"/>
        <v>Датум</v>
      </c>
      <c r="BQ12" s="37" t="s">
        <v>46</v>
      </c>
      <c r="BR12" s="38" t="s">
        <v>1</v>
      </c>
      <c r="BS12" s="34">
        <v>1</v>
      </c>
      <c r="BT12" s="4">
        <v>0</v>
      </c>
      <c r="BU12" s="34">
        <v>0</v>
      </c>
      <c r="BV12" s="39">
        <f t="shared" si="16"/>
        <v>0</v>
      </c>
      <c r="BW12" s="39">
        <v>0</v>
      </c>
      <c r="BX12" s="39">
        <v>0</v>
      </c>
      <c r="BY12" s="39">
        <v>0</v>
      </c>
    </row>
    <row r="13" spans="1:77">
      <c r="AA13" s="63">
        <f t="shared" ca="1" si="8"/>
        <v>0</v>
      </c>
      <c r="AB13" s="64"/>
      <c r="AC13" s="65"/>
      <c r="AD13" s="65"/>
      <c r="AE13" s="66"/>
      <c r="AF13" s="67">
        <f t="shared" si="0"/>
        <v>0</v>
      </c>
      <c r="AO13" s="4" t="str">
        <f t="shared" si="1"/>
        <v>ШИФРА:</v>
      </c>
      <c r="AP13" s="9">
        <f t="shared" si="2"/>
        <v>0</v>
      </c>
      <c r="AQ13" s="4">
        <f t="shared" ca="1" si="3"/>
        <v>0</v>
      </c>
      <c r="AR13" s="2" t="s">
        <v>1</v>
      </c>
      <c r="AS13" s="8">
        <f t="shared" si="4"/>
        <v>0</v>
      </c>
      <c r="AT13" s="8">
        <f t="shared" si="4"/>
        <v>0</v>
      </c>
      <c r="AU13" s="8"/>
      <c r="AV13" s="53">
        <f t="shared" si="5"/>
        <v>0</v>
      </c>
      <c r="AW13" s="53">
        <f t="shared" si="6"/>
        <v>0</v>
      </c>
      <c r="AX13" s="53">
        <f t="shared" si="7"/>
        <v>0</v>
      </c>
      <c r="AY13" s="53"/>
      <c r="BA13" s="42"/>
      <c r="BB13" s="83"/>
      <c r="BC13" s="42"/>
      <c r="BD13" s="42"/>
      <c r="BE13" s="43"/>
      <c r="BF13" s="44"/>
      <c r="BG13" s="44">
        <f t="shared" si="11"/>
        <v>0</v>
      </c>
      <c r="BH13" s="86">
        <f t="shared" si="12"/>
        <v>0</v>
      </c>
      <c r="BI13" s="87">
        <f t="shared" si="13"/>
        <v>0</v>
      </c>
      <c r="BJ13" s="44">
        <f t="shared" si="14"/>
        <v>0</v>
      </c>
      <c r="BK13" s="44">
        <f t="shared" si="15"/>
        <v>0</v>
      </c>
      <c r="BO13" s="34" t="str">
        <f t="shared" si="9"/>
        <v>Улаз</v>
      </c>
      <c r="BP13" s="36" t="str">
        <f t="shared" si="10"/>
        <v>Датум</v>
      </c>
      <c r="BQ13" s="37" t="s">
        <v>46</v>
      </c>
      <c r="BR13" s="38" t="s">
        <v>1</v>
      </c>
      <c r="BS13" s="34">
        <v>1</v>
      </c>
      <c r="BT13" s="4">
        <v>0</v>
      </c>
      <c r="BU13" s="34">
        <v>0</v>
      </c>
      <c r="BV13" s="39">
        <f t="shared" si="16"/>
        <v>0</v>
      </c>
      <c r="BW13" s="39">
        <v>0</v>
      </c>
      <c r="BX13" s="39">
        <v>0</v>
      </c>
      <c r="BY13" s="39">
        <v>0</v>
      </c>
    </row>
    <row r="14" spans="1:77" ht="13.5" thickBot="1">
      <c r="AA14" s="63">
        <f t="shared" ca="1" si="8"/>
        <v>0</v>
      </c>
      <c r="AB14" s="64"/>
      <c r="AC14" s="65"/>
      <c r="AD14" s="65"/>
      <c r="AE14" s="66"/>
      <c r="AF14" s="67">
        <f t="shared" si="0"/>
        <v>0</v>
      </c>
      <c r="AO14" s="4" t="str">
        <f t="shared" si="1"/>
        <v>ШИФРА:</v>
      </c>
      <c r="AP14" s="9">
        <f t="shared" si="2"/>
        <v>0</v>
      </c>
      <c r="AQ14" s="4">
        <f t="shared" ca="1" si="3"/>
        <v>0</v>
      </c>
      <c r="AR14" s="2" t="s">
        <v>1</v>
      </c>
      <c r="AS14" s="8">
        <f t="shared" si="4"/>
        <v>0</v>
      </c>
      <c r="AT14" s="8">
        <f t="shared" si="4"/>
        <v>0</v>
      </c>
      <c r="AU14" s="8"/>
      <c r="AV14" s="53">
        <f t="shared" si="5"/>
        <v>0</v>
      </c>
      <c r="AW14" s="53">
        <f t="shared" si="6"/>
        <v>0</v>
      </c>
      <c r="AX14" s="53">
        <f t="shared" si="7"/>
        <v>0</v>
      </c>
      <c r="AY14" s="53"/>
      <c r="BA14" s="42"/>
      <c r="BB14" s="83"/>
      <c r="BC14" s="42"/>
      <c r="BD14" s="42"/>
      <c r="BE14" s="43"/>
      <c r="BF14" s="44"/>
      <c r="BG14" s="44">
        <f t="shared" si="11"/>
        <v>0</v>
      </c>
      <c r="BH14" s="86">
        <f t="shared" si="12"/>
        <v>0</v>
      </c>
      <c r="BI14" s="87">
        <f t="shared" si="13"/>
        <v>0</v>
      </c>
      <c r="BJ14" s="44">
        <f t="shared" si="14"/>
        <v>0</v>
      </c>
      <c r="BK14" s="44">
        <f t="shared" si="15"/>
        <v>0</v>
      </c>
      <c r="BO14" s="34" t="str">
        <f t="shared" si="9"/>
        <v>Улаз</v>
      </c>
      <c r="BP14" s="36" t="str">
        <f t="shared" si="10"/>
        <v>Датум</v>
      </c>
      <c r="BQ14" s="37" t="s">
        <v>46</v>
      </c>
      <c r="BR14" s="38" t="s">
        <v>1</v>
      </c>
      <c r="BS14" s="34">
        <v>1</v>
      </c>
      <c r="BT14" s="4">
        <v>0</v>
      </c>
      <c r="BU14" s="34">
        <v>0</v>
      </c>
      <c r="BV14" s="39">
        <f t="shared" si="16"/>
        <v>0</v>
      </c>
      <c r="BW14" s="39">
        <v>0</v>
      </c>
      <c r="BX14" s="39">
        <v>0</v>
      </c>
      <c r="BY14" s="39">
        <v>0</v>
      </c>
    </row>
    <row r="15" spans="1:77" ht="13.5" thickBot="1">
      <c r="AA15" s="69"/>
      <c r="AB15" s="70"/>
      <c r="AC15" s="70"/>
      <c r="AD15" s="70"/>
      <c r="AE15" s="71"/>
      <c r="AF15" s="72"/>
      <c r="AG15" s="69"/>
      <c r="AH15" s="73"/>
      <c r="AI15" s="73"/>
      <c r="AJ15" s="73"/>
      <c r="AK15" s="73"/>
      <c r="AL15" s="73"/>
      <c r="AM15" s="73"/>
      <c r="AN15" s="73"/>
      <c r="AO15" s="73"/>
      <c r="AP15" s="74"/>
      <c r="AQ15" s="73"/>
      <c r="AR15" s="73"/>
      <c r="AS15" s="75"/>
      <c r="AT15" s="75"/>
      <c r="AU15" s="73"/>
      <c r="AV15" s="73"/>
      <c r="AW15" s="73"/>
      <c r="AX15" s="73"/>
      <c r="AY15" s="76"/>
      <c r="BA15" s="42"/>
      <c r="BB15" s="83"/>
      <c r="BC15" s="42"/>
      <c r="BD15" s="42"/>
      <c r="BE15" s="43"/>
      <c r="BF15" s="44"/>
      <c r="BG15" s="44">
        <f t="shared" si="11"/>
        <v>0</v>
      </c>
      <c r="BH15" s="86">
        <f t="shared" si="12"/>
        <v>0</v>
      </c>
      <c r="BI15" s="87">
        <f t="shared" si="13"/>
        <v>0</v>
      </c>
      <c r="BJ15" s="44">
        <f t="shared" si="14"/>
        <v>0</v>
      </c>
      <c r="BK15" s="44">
        <f t="shared" si="15"/>
        <v>0</v>
      </c>
      <c r="BO15" s="34" t="str">
        <f t="shared" si="9"/>
        <v>Улаз</v>
      </c>
      <c r="BP15" s="36" t="str">
        <f t="shared" si="10"/>
        <v>Датум</v>
      </c>
      <c r="BQ15" s="37" t="s">
        <v>46</v>
      </c>
      <c r="BR15" s="38" t="s">
        <v>1</v>
      </c>
      <c r="BS15" s="34">
        <v>1</v>
      </c>
      <c r="BT15" s="4">
        <v>0</v>
      </c>
      <c r="BU15" s="34">
        <v>0</v>
      </c>
      <c r="BV15" s="39">
        <f t="shared" si="16"/>
        <v>0</v>
      </c>
      <c r="BW15" s="39">
        <v>0</v>
      </c>
      <c r="BX15" s="39">
        <v>0</v>
      </c>
      <c r="BY15" s="39">
        <v>0</v>
      </c>
    </row>
    <row r="16" spans="1:77" ht="13.5" thickBot="1">
      <c r="AF16" s="68">
        <f>SUM(AF3:AF15)</f>
        <v>0</v>
      </c>
      <c r="BA16" s="42"/>
      <c r="BB16" s="83"/>
      <c r="BC16" s="42"/>
      <c r="BD16" s="42"/>
      <c r="BE16" s="43"/>
      <c r="BF16" s="44"/>
      <c r="BG16" s="44">
        <f t="shared" si="11"/>
        <v>0</v>
      </c>
      <c r="BH16" s="86">
        <f t="shared" si="12"/>
        <v>0</v>
      </c>
      <c r="BI16" s="87">
        <f t="shared" si="13"/>
        <v>0</v>
      </c>
      <c r="BJ16" s="44">
        <f t="shared" si="14"/>
        <v>0</v>
      </c>
      <c r="BK16" s="44">
        <f t="shared" si="15"/>
        <v>0</v>
      </c>
      <c r="BO16" s="34" t="str">
        <f t="shared" si="9"/>
        <v>Улаз</v>
      </c>
      <c r="BP16" s="36" t="str">
        <f t="shared" si="10"/>
        <v>Датум</v>
      </c>
      <c r="BQ16" s="37" t="s">
        <v>46</v>
      </c>
      <c r="BR16" s="38" t="s">
        <v>1</v>
      </c>
      <c r="BS16" s="34">
        <v>1</v>
      </c>
      <c r="BT16" s="4">
        <v>0</v>
      </c>
      <c r="BU16" s="34">
        <v>0</v>
      </c>
      <c r="BV16" s="39">
        <f t="shared" si="16"/>
        <v>0</v>
      </c>
      <c r="BW16" s="39">
        <v>0</v>
      </c>
      <c r="BX16" s="39">
        <v>0</v>
      </c>
      <c r="BY16" s="39">
        <v>0</v>
      </c>
    </row>
    <row r="17" spans="53:77">
      <c r="BA17" s="42"/>
      <c r="BB17" s="83"/>
      <c r="BC17" s="42"/>
      <c r="BD17" s="42"/>
      <c r="BE17" s="43"/>
      <c r="BF17" s="44"/>
      <c r="BG17" s="44">
        <f t="shared" si="11"/>
        <v>0</v>
      </c>
      <c r="BH17" s="86">
        <f t="shared" si="12"/>
        <v>0</v>
      </c>
      <c r="BI17" s="87">
        <f t="shared" si="13"/>
        <v>0</v>
      </c>
      <c r="BJ17" s="44">
        <f t="shared" si="14"/>
        <v>0</v>
      </c>
      <c r="BK17" s="44">
        <f t="shared" si="15"/>
        <v>0</v>
      </c>
      <c r="BO17" s="34" t="str">
        <f t="shared" si="9"/>
        <v>Улаз</v>
      </c>
      <c r="BP17" s="36" t="str">
        <f t="shared" si="10"/>
        <v>Датум</v>
      </c>
      <c r="BQ17" s="37" t="s">
        <v>46</v>
      </c>
      <c r="BR17" s="38" t="s">
        <v>1</v>
      </c>
      <c r="BS17" s="34">
        <v>1</v>
      </c>
      <c r="BT17" s="4">
        <v>0</v>
      </c>
      <c r="BU17" s="34">
        <v>0</v>
      </c>
      <c r="BV17" s="39">
        <f t="shared" si="16"/>
        <v>0</v>
      </c>
      <c r="BW17" s="39">
        <v>0</v>
      </c>
      <c r="BX17" s="39">
        <v>0</v>
      </c>
      <c r="BY17" s="39">
        <v>0</v>
      </c>
    </row>
    <row r="18" spans="53:77">
      <c r="BA18" s="42"/>
      <c r="BB18" s="83"/>
      <c r="BC18" s="42"/>
      <c r="BD18" s="42"/>
      <c r="BE18" s="43"/>
      <c r="BF18" s="44"/>
      <c r="BG18" s="44">
        <f t="shared" si="11"/>
        <v>0</v>
      </c>
      <c r="BH18" s="86">
        <f t="shared" si="12"/>
        <v>0</v>
      </c>
      <c r="BI18" s="87">
        <f t="shared" si="13"/>
        <v>0</v>
      </c>
      <c r="BJ18" s="44">
        <f t="shared" si="14"/>
        <v>0</v>
      </c>
      <c r="BK18" s="44">
        <f t="shared" si="15"/>
        <v>0</v>
      </c>
      <c r="BO18" s="34" t="str">
        <f t="shared" si="9"/>
        <v>Улаз</v>
      </c>
      <c r="BP18" s="36" t="str">
        <f t="shared" si="10"/>
        <v>Датум</v>
      </c>
      <c r="BQ18" s="37" t="s">
        <v>46</v>
      </c>
      <c r="BR18" s="38" t="s">
        <v>1</v>
      </c>
      <c r="BS18" s="34">
        <v>1</v>
      </c>
      <c r="BT18" s="4">
        <v>0</v>
      </c>
      <c r="BU18" s="34">
        <v>0</v>
      </c>
      <c r="BV18" s="39">
        <f t="shared" si="16"/>
        <v>0</v>
      </c>
      <c r="BW18" s="39">
        <v>0</v>
      </c>
      <c r="BX18" s="39">
        <v>0</v>
      </c>
      <c r="BY18" s="39">
        <v>0</v>
      </c>
    </row>
    <row r="19" spans="53:77">
      <c r="BA19" s="42"/>
      <c r="BB19" s="83"/>
      <c r="BC19" s="42"/>
      <c r="BD19" s="42"/>
      <c r="BE19" s="43"/>
      <c r="BF19" s="44"/>
      <c r="BG19" s="44">
        <f t="shared" si="11"/>
        <v>0</v>
      </c>
      <c r="BH19" s="86">
        <f t="shared" si="12"/>
        <v>0</v>
      </c>
      <c r="BI19" s="87">
        <f t="shared" si="13"/>
        <v>0</v>
      </c>
      <c r="BJ19" s="44">
        <f t="shared" si="14"/>
        <v>0</v>
      </c>
      <c r="BK19" s="44">
        <f t="shared" si="15"/>
        <v>0</v>
      </c>
      <c r="BO19" s="34" t="str">
        <f t="shared" si="9"/>
        <v>Улаз</v>
      </c>
      <c r="BP19" s="36" t="str">
        <f t="shared" si="10"/>
        <v>Датум</v>
      </c>
      <c r="BQ19" s="37" t="s">
        <v>46</v>
      </c>
      <c r="BR19" s="38" t="s">
        <v>1</v>
      </c>
      <c r="BS19" s="34">
        <v>1</v>
      </c>
      <c r="BT19" s="4">
        <v>0</v>
      </c>
      <c r="BU19" s="34">
        <v>0</v>
      </c>
      <c r="BV19" s="39">
        <f t="shared" si="16"/>
        <v>0</v>
      </c>
      <c r="BW19" s="39">
        <v>0</v>
      </c>
      <c r="BX19" s="39">
        <v>0</v>
      </c>
      <c r="BY19" s="39">
        <v>0</v>
      </c>
    </row>
    <row r="20" spans="53:77">
      <c r="BA20" s="42"/>
      <c r="BB20" s="83"/>
      <c r="BC20" s="42"/>
      <c r="BD20" s="42"/>
      <c r="BE20" s="43"/>
      <c r="BF20" s="44"/>
      <c r="BG20" s="44">
        <f t="shared" si="11"/>
        <v>0</v>
      </c>
      <c r="BH20" s="86">
        <f t="shared" si="12"/>
        <v>0</v>
      </c>
      <c r="BI20" s="87">
        <f t="shared" si="13"/>
        <v>0</v>
      </c>
      <c r="BJ20" s="44">
        <f t="shared" si="14"/>
        <v>0</v>
      </c>
      <c r="BK20" s="44">
        <f t="shared" si="15"/>
        <v>0</v>
      </c>
      <c r="BO20" s="34" t="str">
        <f t="shared" si="9"/>
        <v>Улаз</v>
      </c>
      <c r="BP20" s="36" t="str">
        <f t="shared" si="10"/>
        <v>Датум</v>
      </c>
      <c r="BQ20" s="37" t="s">
        <v>46</v>
      </c>
      <c r="BR20" s="38" t="s">
        <v>1</v>
      </c>
      <c r="BS20" s="34">
        <v>1</v>
      </c>
      <c r="BT20" s="4">
        <v>0</v>
      </c>
      <c r="BU20" s="34">
        <v>0</v>
      </c>
      <c r="BV20" s="39">
        <f t="shared" si="16"/>
        <v>0</v>
      </c>
      <c r="BW20" s="39">
        <v>0</v>
      </c>
      <c r="BX20" s="39">
        <v>0</v>
      </c>
      <c r="BY20" s="39">
        <v>0</v>
      </c>
    </row>
    <row r="21" spans="53:77">
      <c r="BA21" s="42"/>
      <c r="BB21" s="83"/>
      <c r="BC21" s="42"/>
      <c r="BD21" s="42"/>
      <c r="BE21" s="43"/>
      <c r="BF21" s="44"/>
      <c r="BG21" s="44">
        <f t="shared" si="11"/>
        <v>0</v>
      </c>
      <c r="BH21" s="86">
        <f t="shared" si="12"/>
        <v>0</v>
      </c>
      <c r="BI21" s="87">
        <f t="shared" si="13"/>
        <v>0</v>
      </c>
      <c r="BJ21" s="44">
        <f t="shared" si="14"/>
        <v>0</v>
      </c>
      <c r="BK21" s="44">
        <f t="shared" si="15"/>
        <v>0</v>
      </c>
      <c r="BO21" s="34" t="str">
        <f t="shared" si="9"/>
        <v>Улаз</v>
      </c>
      <c r="BP21" s="36" t="str">
        <f t="shared" si="10"/>
        <v>Датум</v>
      </c>
      <c r="BQ21" s="37" t="s">
        <v>46</v>
      </c>
      <c r="BR21" s="38" t="s">
        <v>1</v>
      </c>
      <c r="BS21" s="34">
        <v>1</v>
      </c>
      <c r="BT21" s="4">
        <v>0</v>
      </c>
      <c r="BU21" s="34">
        <v>0</v>
      </c>
      <c r="BV21" s="39">
        <f t="shared" si="16"/>
        <v>0</v>
      </c>
      <c r="BW21" s="39">
        <v>0</v>
      </c>
      <c r="BX21" s="39">
        <v>0</v>
      </c>
      <c r="BY21" s="39">
        <v>0</v>
      </c>
    </row>
    <row r="22" spans="53:77">
      <c r="BA22" s="42"/>
      <c r="BB22" s="83"/>
      <c r="BC22" s="42"/>
      <c r="BD22" s="42"/>
      <c r="BE22" s="43"/>
      <c r="BF22" s="44"/>
      <c r="BG22" s="44">
        <f t="shared" si="11"/>
        <v>0</v>
      </c>
      <c r="BH22" s="86">
        <f t="shared" si="12"/>
        <v>0</v>
      </c>
      <c r="BI22" s="87">
        <f t="shared" si="13"/>
        <v>0</v>
      </c>
      <c r="BJ22" s="44">
        <f t="shared" si="14"/>
        <v>0</v>
      </c>
      <c r="BK22" s="44">
        <f t="shared" si="15"/>
        <v>0</v>
      </c>
      <c r="BO22" s="34" t="str">
        <f t="shared" si="9"/>
        <v>Улаз</v>
      </c>
      <c r="BP22" s="36" t="str">
        <f t="shared" si="10"/>
        <v>Датум</v>
      </c>
      <c r="BQ22" s="37" t="s">
        <v>46</v>
      </c>
      <c r="BR22" s="38" t="s">
        <v>1</v>
      </c>
      <c r="BS22" s="34">
        <v>1</v>
      </c>
      <c r="BT22" s="4">
        <v>0</v>
      </c>
      <c r="BU22" s="34">
        <v>0</v>
      </c>
      <c r="BV22" s="39">
        <f t="shared" si="16"/>
        <v>0</v>
      </c>
      <c r="BW22" s="39">
        <v>0</v>
      </c>
      <c r="BX22" s="39">
        <v>0</v>
      </c>
      <c r="BY22" s="39">
        <v>0</v>
      </c>
    </row>
    <row r="23" spans="53:77">
      <c r="BA23" s="42"/>
      <c r="BB23" s="83"/>
      <c r="BC23" s="42"/>
      <c r="BD23" s="42"/>
      <c r="BE23" s="43"/>
      <c r="BF23" s="44"/>
      <c r="BG23" s="44">
        <f t="shared" si="11"/>
        <v>0</v>
      </c>
      <c r="BH23" s="86">
        <f t="shared" si="12"/>
        <v>0</v>
      </c>
      <c r="BI23" s="87">
        <f t="shared" si="13"/>
        <v>0</v>
      </c>
      <c r="BJ23" s="44">
        <f t="shared" si="14"/>
        <v>0</v>
      </c>
      <c r="BK23" s="44">
        <f t="shared" si="15"/>
        <v>0</v>
      </c>
      <c r="BO23" s="34" t="str">
        <f t="shared" si="9"/>
        <v>Улаз</v>
      </c>
      <c r="BP23" s="36" t="str">
        <f t="shared" si="10"/>
        <v>Датум</v>
      </c>
      <c r="BQ23" s="37" t="s">
        <v>46</v>
      </c>
      <c r="BR23" s="38" t="s">
        <v>1</v>
      </c>
      <c r="BS23" s="34">
        <v>1</v>
      </c>
      <c r="BT23" s="4">
        <v>0</v>
      </c>
      <c r="BU23" s="34">
        <v>0</v>
      </c>
      <c r="BV23" s="39">
        <f t="shared" si="16"/>
        <v>0</v>
      </c>
      <c r="BW23" s="39">
        <v>0</v>
      </c>
      <c r="BX23" s="39">
        <v>0</v>
      </c>
      <c r="BY23" s="39">
        <v>0</v>
      </c>
    </row>
    <row r="24" spans="53:77">
      <c r="BA24" s="42"/>
      <c r="BB24" s="83"/>
      <c r="BC24" s="42"/>
      <c r="BD24" s="42"/>
      <c r="BE24" s="43"/>
      <c r="BF24" s="44"/>
      <c r="BG24" s="44">
        <f t="shared" si="11"/>
        <v>0</v>
      </c>
      <c r="BH24" s="86">
        <f t="shared" si="12"/>
        <v>0</v>
      </c>
      <c r="BI24" s="87">
        <f t="shared" si="13"/>
        <v>0</v>
      </c>
      <c r="BJ24" s="44">
        <f t="shared" si="14"/>
        <v>0</v>
      </c>
      <c r="BK24" s="44">
        <f t="shared" si="15"/>
        <v>0</v>
      </c>
      <c r="BO24" s="34" t="str">
        <f t="shared" si="9"/>
        <v>Улаз</v>
      </c>
      <c r="BP24" s="36" t="str">
        <f t="shared" si="10"/>
        <v>Датум</v>
      </c>
      <c r="BQ24" s="37" t="s">
        <v>46</v>
      </c>
      <c r="BR24" s="38" t="s">
        <v>1</v>
      </c>
      <c r="BS24" s="34">
        <v>1</v>
      </c>
      <c r="BT24" s="4">
        <v>0</v>
      </c>
      <c r="BU24" s="34">
        <v>0</v>
      </c>
      <c r="BV24" s="39">
        <f t="shared" si="16"/>
        <v>0</v>
      </c>
      <c r="BW24" s="39">
        <v>0</v>
      </c>
      <c r="BX24" s="39">
        <v>0</v>
      </c>
      <c r="BY24" s="39">
        <v>0</v>
      </c>
    </row>
    <row r="25" spans="53:77">
      <c r="BA25" s="42"/>
      <c r="BB25" s="83"/>
      <c r="BC25" s="42"/>
      <c r="BD25" s="42"/>
      <c r="BE25" s="43"/>
      <c r="BF25" s="44"/>
      <c r="BG25" s="44">
        <f t="shared" si="11"/>
        <v>0</v>
      </c>
      <c r="BH25" s="86">
        <f t="shared" si="12"/>
        <v>0</v>
      </c>
      <c r="BI25" s="87">
        <f t="shared" si="13"/>
        <v>0</v>
      </c>
      <c r="BJ25" s="44">
        <f t="shared" si="14"/>
        <v>0</v>
      </c>
      <c r="BK25" s="44">
        <f t="shared" si="15"/>
        <v>0</v>
      </c>
      <c r="BO25" s="34" t="str">
        <f t="shared" si="9"/>
        <v>Улаз</v>
      </c>
      <c r="BP25" s="36" t="str">
        <f t="shared" si="10"/>
        <v>Датум</v>
      </c>
      <c r="BQ25" s="37" t="s">
        <v>46</v>
      </c>
      <c r="BR25" s="38" t="s">
        <v>1</v>
      </c>
      <c r="BS25" s="34">
        <v>1</v>
      </c>
      <c r="BT25" s="4">
        <v>0</v>
      </c>
      <c r="BU25" s="34">
        <v>0</v>
      </c>
      <c r="BV25" s="39">
        <f t="shared" si="16"/>
        <v>0</v>
      </c>
      <c r="BW25" s="39">
        <v>0</v>
      </c>
      <c r="BX25" s="39">
        <v>0</v>
      </c>
      <c r="BY25" s="39">
        <v>0</v>
      </c>
    </row>
    <row r="26" spans="53:77">
      <c r="BA26" s="42"/>
      <c r="BB26" s="83"/>
      <c r="BC26" s="42"/>
      <c r="BD26" s="42"/>
      <c r="BE26" s="43"/>
      <c r="BF26" s="44"/>
      <c r="BG26" s="44">
        <f t="shared" si="11"/>
        <v>0</v>
      </c>
      <c r="BH26" s="86">
        <f t="shared" si="12"/>
        <v>0</v>
      </c>
      <c r="BI26" s="87">
        <f t="shared" si="13"/>
        <v>0</v>
      </c>
      <c r="BJ26" s="44">
        <f t="shared" si="14"/>
        <v>0</v>
      </c>
      <c r="BK26" s="44">
        <f t="shared" si="15"/>
        <v>0</v>
      </c>
      <c r="BO26" s="34" t="str">
        <f t="shared" si="9"/>
        <v>Улаз</v>
      </c>
      <c r="BP26" s="36" t="str">
        <f t="shared" si="10"/>
        <v>Датум</v>
      </c>
      <c r="BQ26" s="37" t="s">
        <v>46</v>
      </c>
      <c r="BR26" s="38" t="s">
        <v>1</v>
      </c>
      <c r="BS26" s="34">
        <v>1</v>
      </c>
      <c r="BT26" s="4">
        <v>0</v>
      </c>
      <c r="BU26" s="34">
        <v>0</v>
      </c>
      <c r="BV26" s="39">
        <f t="shared" si="16"/>
        <v>0</v>
      </c>
      <c r="BW26" s="39">
        <v>0</v>
      </c>
      <c r="BX26" s="39">
        <v>0</v>
      </c>
      <c r="BY26" s="39">
        <v>0</v>
      </c>
    </row>
    <row r="27" spans="53:77">
      <c r="BA27" s="42"/>
      <c r="BB27" s="83"/>
      <c r="BC27" s="42"/>
      <c r="BD27" s="42"/>
      <c r="BE27" s="43"/>
      <c r="BF27" s="44"/>
      <c r="BG27" s="44">
        <f t="shared" si="11"/>
        <v>0</v>
      </c>
      <c r="BH27" s="86">
        <f t="shared" si="12"/>
        <v>0</v>
      </c>
      <c r="BI27" s="87">
        <f t="shared" si="13"/>
        <v>0</v>
      </c>
      <c r="BJ27" s="44">
        <f t="shared" si="14"/>
        <v>0</v>
      </c>
      <c r="BK27" s="44">
        <f t="shared" si="15"/>
        <v>0</v>
      </c>
      <c r="BO27" s="34" t="str">
        <f t="shared" si="9"/>
        <v>Улаз</v>
      </c>
      <c r="BP27" s="36" t="str">
        <f t="shared" si="10"/>
        <v>Датум</v>
      </c>
      <c r="BQ27" s="37" t="s">
        <v>46</v>
      </c>
      <c r="BR27" s="38" t="s">
        <v>1</v>
      </c>
      <c r="BS27" s="34">
        <v>1</v>
      </c>
      <c r="BT27" s="4">
        <v>0</v>
      </c>
      <c r="BU27" s="34">
        <v>0</v>
      </c>
      <c r="BV27" s="39">
        <f t="shared" si="16"/>
        <v>0</v>
      </c>
      <c r="BW27" s="39">
        <v>0</v>
      </c>
      <c r="BX27" s="39">
        <v>0</v>
      </c>
      <c r="BY27" s="39">
        <v>0</v>
      </c>
    </row>
    <row r="28" spans="53:77">
      <c r="BA28" s="42"/>
      <c r="BB28" s="83"/>
      <c r="BC28" s="42"/>
      <c r="BD28" s="42"/>
      <c r="BE28" s="43"/>
      <c r="BF28" s="44"/>
      <c r="BG28" s="44">
        <f t="shared" si="11"/>
        <v>0</v>
      </c>
      <c r="BH28" s="86">
        <f t="shared" si="12"/>
        <v>0</v>
      </c>
      <c r="BI28" s="87">
        <f t="shared" si="13"/>
        <v>0</v>
      </c>
      <c r="BJ28" s="44">
        <f t="shared" si="14"/>
        <v>0</v>
      </c>
      <c r="BK28" s="44">
        <f t="shared" si="15"/>
        <v>0</v>
      </c>
      <c r="BO28" s="34" t="str">
        <f t="shared" si="9"/>
        <v>Улаз</v>
      </c>
      <c r="BP28" s="36" t="str">
        <f t="shared" si="10"/>
        <v>Датум</v>
      </c>
      <c r="BQ28" s="37" t="s">
        <v>46</v>
      </c>
      <c r="BR28" s="38" t="s">
        <v>1</v>
      </c>
      <c r="BS28" s="34">
        <v>1</v>
      </c>
      <c r="BT28" s="4">
        <v>0</v>
      </c>
      <c r="BU28" s="34">
        <v>0</v>
      </c>
      <c r="BV28" s="39">
        <f t="shared" si="16"/>
        <v>0</v>
      </c>
      <c r="BW28" s="39">
        <v>0</v>
      </c>
      <c r="BX28" s="39">
        <v>0</v>
      </c>
      <c r="BY28" s="39">
        <v>0</v>
      </c>
    </row>
    <row r="29" spans="53:77">
      <c r="BA29" s="42"/>
      <c r="BB29" s="83"/>
      <c r="BC29" s="42"/>
      <c r="BD29" s="42"/>
      <c r="BE29" s="43"/>
      <c r="BF29" s="44"/>
      <c r="BG29" s="44">
        <f t="shared" si="11"/>
        <v>0</v>
      </c>
      <c r="BH29" s="86">
        <f t="shared" si="12"/>
        <v>0</v>
      </c>
      <c r="BI29" s="87">
        <f t="shared" si="13"/>
        <v>0</v>
      </c>
      <c r="BJ29" s="44">
        <f t="shared" si="14"/>
        <v>0</v>
      </c>
      <c r="BK29" s="44">
        <f t="shared" si="15"/>
        <v>0</v>
      </c>
      <c r="BO29" s="34" t="str">
        <f t="shared" si="9"/>
        <v>Улаз</v>
      </c>
      <c r="BP29" s="36" t="str">
        <f t="shared" si="10"/>
        <v>Датум</v>
      </c>
      <c r="BQ29" s="37" t="s">
        <v>46</v>
      </c>
      <c r="BR29" s="38" t="s">
        <v>1</v>
      </c>
      <c r="BS29" s="34">
        <v>1</v>
      </c>
      <c r="BT29" s="4">
        <v>0</v>
      </c>
      <c r="BU29" s="34">
        <v>0</v>
      </c>
      <c r="BV29" s="39">
        <f t="shared" si="16"/>
        <v>0</v>
      </c>
      <c r="BW29" s="39">
        <v>0</v>
      </c>
      <c r="BX29" s="39">
        <v>0</v>
      </c>
      <c r="BY29" s="39">
        <v>0</v>
      </c>
    </row>
    <row r="30" spans="53:77">
      <c r="BA30" s="42"/>
      <c r="BB30" s="83"/>
      <c r="BC30" s="42"/>
      <c r="BD30" s="42"/>
      <c r="BE30" s="43"/>
      <c r="BF30" s="44"/>
      <c r="BG30" s="44">
        <f t="shared" si="11"/>
        <v>0</v>
      </c>
      <c r="BH30" s="86">
        <f t="shared" si="12"/>
        <v>0</v>
      </c>
      <c r="BI30" s="87">
        <f t="shared" si="13"/>
        <v>0</v>
      </c>
      <c r="BJ30" s="44">
        <f t="shared" si="14"/>
        <v>0</v>
      </c>
      <c r="BK30" s="44">
        <f t="shared" si="15"/>
        <v>0</v>
      </c>
      <c r="BO30" s="34" t="str">
        <f t="shared" si="9"/>
        <v>Улаз</v>
      </c>
      <c r="BP30" s="36" t="str">
        <f t="shared" si="10"/>
        <v>Датум</v>
      </c>
      <c r="BQ30" s="37" t="s">
        <v>46</v>
      </c>
      <c r="BR30" s="38" t="s">
        <v>1</v>
      </c>
      <c r="BS30" s="34">
        <v>1</v>
      </c>
      <c r="BT30" s="4">
        <v>0</v>
      </c>
      <c r="BU30" s="34">
        <v>0</v>
      </c>
      <c r="BV30" s="39">
        <f t="shared" si="16"/>
        <v>0</v>
      </c>
      <c r="BW30" s="39">
        <v>0</v>
      </c>
      <c r="BX30" s="39">
        <v>0</v>
      </c>
      <c r="BY30" s="39">
        <v>0</v>
      </c>
    </row>
    <row r="31" spans="53:77">
      <c r="BA31" s="42"/>
      <c r="BB31" s="83"/>
      <c r="BC31" s="42"/>
      <c r="BD31" s="42"/>
      <c r="BE31" s="43"/>
      <c r="BF31" s="44"/>
      <c r="BG31" s="44">
        <f t="shared" si="11"/>
        <v>0</v>
      </c>
      <c r="BH31" s="86">
        <f t="shared" si="12"/>
        <v>0</v>
      </c>
      <c r="BI31" s="87">
        <f t="shared" si="13"/>
        <v>0</v>
      </c>
      <c r="BJ31" s="44">
        <f t="shared" si="14"/>
        <v>0</v>
      </c>
      <c r="BK31" s="44">
        <f t="shared" si="15"/>
        <v>0</v>
      </c>
      <c r="BO31" s="34" t="str">
        <f t="shared" si="9"/>
        <v>Улаз</v>
      </c>
      <c r="BP31" s="36" t="str">
        <f t="shared" si="10"/>
        <v>Датум</v>
      </c>
      <c r="BQ31" s="37" t="s">
        <v>46</v>
      </c>
      <c r="BR31" s="38" t="s">
        <v>1</v>
      </c>
      <c r="BS31" s="34">
        <v>1</v>
      </c>
      <c r="BT31" s="4">
        <v>0</v>
      </c>
      <c r="BU31" s="34">
        <v>0</v>
      </c>
      <c r="BV31" s="39">
        <f t="shared" si="16"/>
        <v>0</v>
      </c>
      <c r="BW31" s="39">
        <v>0</v>
      </c>
      <c r="BX31" s="39">
        <v>0</v>
      </c>
      <c r="BY31" s="39">
        <v>0</v>
      </c>
    </row>
    <row r="32" spans="53:77">
      <c r="BA32" s="42"/>
      <c r="BB32" s="83"/>
      <c r="BC32" s="42"/>
      <c r="BD32" s="42"/>
      <c r="BE32" s="43"/>
      <c r="BF32" s="44"/>
      <c r="BG32" s="44">
        <f t="shared" si="11"/>
        <v>0</v>
      </c>
      <c r="BH32" s="86">
        <f t="shared" si="12"/>
        <v>0</v>
      </c>
      <c r="BI32" s="87">
        <f t="shared" si="13"/>
        <v>0</v>
      </c>
      <c r="BJ32" s="44">
        <f t="shared" si="14"/>
        <v>0</v>
      </c>
      <c r="BK32" s="44">
        <f t="shared" si="15"/>
        <v>0</v>
      </c>
      <c r="BO32" s="34" t="str">
        <f t="shared" si="9"/>
        <v>Улаз</v>
      </c>
      <c r="BP32" s="36" t="str">
        <f t="shared" si="10"/>
        <v>Датум</v>
      </c>
      <c r="BQ32" s="37" t="s">
        <v>46</v>
      </c>
      <c r="BR32" s="38" t="s">
        <v>1</v>
      </c>
      <c r="BS32" s="34">
        <v>1</v>
      </c>
      <c r="BT32" s="4">
        <v>0</v>
      </c>
      <c r="BU32" s="34">
        <v>0</v>
      </c>
      <c r="BV32" s="39">
        <f t="shared" si="16"/>
        <v>0</v>
      </c>
      <c r="BW32" s="39">
        <v>0</v>
      </c>
      <c r="BX32" s="39">
        <v>0</v>
      </c>
      <c r="BY32" s="39">
        <v>0</v>
      </c>
    </row>
    <row r="33" spans="53:77">
      <c r="BA33" s="42"/>
      <c r="BB33" s="83"/>
      <c r="BC33" s="42"/>
      <c r="BD33" s="42"/>
      <c r="BE33" s="43"/>
      <c r="BF33" s="44"/>
      <c r="BG33" s="44">
        <f t="shared" si="11"/>
        <v>0</v>
      </c>
      <c r="BH33" s="86">
        <f t="shared" si="12"/>
        <v>0</v>
      </c>
      <c r="BI33" s="87">
        <f t="shared" si="13"/>
        <v>0</v>
      </c>
      <c r="BJ33" s="44">
        <f t="shared" si="14"/>
        <v>0</v>
      </c>
      <c r="BK33" s="44">
        <f t="shared" si="15"/>
        <v>0</v>
      </c>
      <c r="BO33" s="34" t="str">
        <f t="shared" si="9"/>
        <v>Улаз</v>
      </c>
      <c r="BP33" s="36" t="str">
        <f t="shared" si="10"/>
        <v>Датум</v>
      </c>
      <c r="BQ33" s="37" t="s">
        <v>46</v>
      </c>
      <c r="BR33" s="38" t="s">
        <v>1</v>
      </c>
      <c r="BS33" s="34">
        <v>1</v>
      </c>
      <c r="BT33" s="4">
        <v>0</v>
      </c>
      <c r="BU33" s="34">
        <v>0</v>
      </c>
      <c r="BV33" s="39">
        <f t="shared" si="16"/>
        <v>0</v>
      </c>
      <c r="BW33" s="39">
        <v>0</v>
      </c>
      <c r="BX33" s="39">
        <v>0</v>
      </c>
      <c r="BY33" s="39">
        <v>0</v>
      </c>
    </row>
    <row r="34" spans="53:77">
      <c r="BA34" s="42"/>
      <c r="BB34" s="83"/>
      <c r="BC34" s="42"/>
      <c r="BD34" s="42"/>
      <c r="BE34" s="43"/>
      <c r="BF34" s="44"/>
      <c r="BG34" s="44">
        <f t="shared" si="11"/>
        <v>0</v>
      </c>
      <c r="BH34" s="86">
        <f t="shared" si="12"/>
        <v>0</v>
      </c>
      <c r="BI34" s="87">
        <f t="shared" si="13"/>
        <v>0</v>
      </c>
      <c r="BJ34" s="44">
        <f t="shared" si="14"/>
        <v>0</v>
      </c>
      <c r="BK34" s="44">
        <f t="shared" si="15"/>
        <v>0</v>
      </c>
      <c r="BO34" s="34" t="str">
        <f t="shared" si="9"/>
        <v>Улаз</v>
      </c>
      <c r="BP34" s="36" t="str">
        <f t="shared" si="10"/>
        <v>Датум</v>
      </c>
      <c r="BQ34" s="37" t="s">
        <v>46</v>
      </c>
      <c r="BR34" s="38" t="s">
        <v>1</v>
      </c>
      <c r="BS34" s="34">
        <v>1</v>
      </c>
      <c r="BT34" s="4">
        <v>0</v>
      </c>
      <c r="BU34" s="34">
        <v>0</v>
      </c>
      <c r="BV34" s="39">
        <f t="shared" si="16"/>
        <v>0</v>
      </c>
      <c r="BW34" s="39">
        <v>0</v>
      </c>
      <c r="BX34" s="39">
        <v>0</v>
      </c>
      <c r="BY34" s="39">
        <v>0</v>
      </c>
    </row>
    <row r="35" spans="53:77">
      <c r="BA35" s="42"/>
      <c r="BB35" s="83"/>
      <c r="BC35" s="42"/>
      <c r="BD35" s="42"/>
      <c r="BE35" s="43"/>
      <c r="BF35" s="44"/>
      <c r="BG35" s="44">
        <f t="shared" si="11"/>
        <v>0</v>
      </c>
      <c r="BH35" s="86">
        <f t="shared" si="12"/>
        <v>0</v>
      </c>
      <c r="BI35" s="87">
        <f t="shared" si="13"/>
        <v>0</v>
      </c>
      <c r="BJ35" s="44">
        <f t="shared" si="14"/>
        <v>0</v>
      </c>
      <c r="BK35" s="44">
        <f t="shared" si="15"/>
        <v>0</v>
      </c>
      <c r="BO35" s="34" t="str">
        <f t="shared" si="9"/>
        <v>Улаз</v>
      </c>
      <c r="BP35" s="36" t="str">
        <f t="shared" si="10"/>
        <v>Датум</v>
      </c>
      <c r="BQ35" s="37" t="s">
        <v>46</v>
      </c>
      <c r="BR35" s="38" t="s">
        <v>1</v>
      </c>
      <c r="BS35" s="34">
        <v>1</v>
      </c>
      <c r="BT35" s="4">
        <v>0</v>
      </c>
      <c r="BU35" s="34">
        <v>0</v>
      </c>
      <c r="BV35" s="39">
        <f t="shared" si="16"/>
        <v>0</v>
      </c>
      <c r="BW35" s="39">
        <v>0</v>
      </c>
      <c r="BX35" s="39">
        <v>0</v>
      </c>
      <c r="BY35" s="39">
        <v>0</v>
      </c>
    </row>
    <row r="36" spans="53:77">
      <c r="BA36" s="42"/>
      <c r="BB36" s="83"/>
      <c r="BC36" s="42"/>
      <c r="BD36" s="42"/>
      <c r="BE36" s="43"/>
      <c r="BF36" s="44"/>
      <c r="BG36" s="44">
        <f t="shared" si="11"/>
        <v>0</v>
      </c>
      <c r="BH36" s="86">
        <f t="shared" si="12"/>
        <v>0</v>
      </c>
      <c r="BI36" s="87">
        <f t="shared" si="13"/>
        <v>0</v>
      </c>
      <c r="BJ36" s="44">
        <f t="shared" si="14"/>
        <v>0</v>
      </c>
      <c r="BK36" s="44">
        <f t="shared" si="15"/>
        <v>0</v>
      </c>
      <c r="BO36" s="34" t="str">
        <f t="shared" si="9"/>
        <v>Улаз</v>
      </c>
      <c r="BP36" s="36" t="str">
        <f t="shared" si="10"/>
        <v>Датум</v>
      </c>
      <c r="BQ36" s="37" t="s">
        <v>46</v>
      </c>
      <c r="BR36" s="38" t="s">
        <v>1</v>
      </c>
      <c r="BS36" s="34">
        <v>1</v>
      </c>
      <c r="BT36" s="4">
        <v>0</v>
      </c>
      <c r="BU36" s="34">
        <v>0</v>
      </c>
      <c r="BV36" s="39">
        <f t="shared" si="16"/>
        <v>0</v>
      </c>
      <c r="BW36" s="39">
        <v>0</v>
      </c>
      <c r="BX36" s="39">
        <v>0</v>
      </c>
      <c r="BY36" s="39">
        <v>0</v>
      </c>
    </row>
    <row r="37" spans="53:77">
      <c r="BA37" s="42"/>
      <c r="BB37" s="83"/>
      <c r="BC37" s="42"/>
      <c r="BD37" s="42"/>
      <c r="BE37" s="43"/>
      <c r="BF37" s="44"/>
      <c r="BG37" s="44">
        <f t="shared" si="11"/>
        <v>0</v>
      </c>
      <c r="BH37" s="86">
        <f t="shared" si="12"/>
        <v>0</v>
      </c>
      <c r="BI37" s="87">
        <f t="shared" si="13"/>
        <v>0</v>
      </c>
      <c r="BJ37" s="44">
        <f t="shared" si="14"/>
        <v>0</v>
      </c>
      <c r="BK37" s="44">
        <f t="shared" si="15"/>
        <v>0</v>
      </c>
      <c r="BO37" s="34" t="str">
        <f t="shared" si="9"/>
        <v>Улаз</v>
      </c>
      <c r="BP37" s="36" t="str">
        <f t="shared" si="10"/>
        <v>Датум</v>
      </c>
      <c r="BQ37" s="37" t="s">
        <v>46</v>
      </c>
      <c r="BR37" s="38" t="s">
        <v>1</v>
      </c>
      <c r="BS37" s="34">
        <v>1</v>
      </c>
      <c r="BT37" s="4">
        <v>0</v>
      </c>
      <c r="BU37" s="34">
        <v>0</v>
      </c>
      <c r="BV37" s="39">
        <f t="shared" si="16"/>
        <v>0</v>
      </c>
      <c r="BW37" s="39">
        <v>0</v>
      </c>
      <c r="BX37" s="39">
        <v>0</v>
      </c>
      <c r="BY37" s="39">
        <v>0</v>
      </c>
    </row>
    <row r="38" spans="53:77" ht="13.5" thickBot="1">
      <c r="BA38" s="42"/>
      <c r="BB38" s="83"/>
      <c r="BC38" s="42"/>
      <c r="BD38" s="42"/>
      <c r="BE38" s="43"/>
      <c r="BF38" s="44"/>
      <c r="BG38" s="44">
        <f t="shared" si="11"/>
        <v>0</v>
      </c>
      <c r="BH38" s="86">
        <f t="shared" si="12"/>
        <v>0</v>
      </c>
      <c r="BI38" s="87">
        <f t="shared" si="13"/>
        <v>0</v>
      </c>
      <c r="BJ38" s="44">
        <f t="shared" si="14"/>
        <v>0</v>
      </c>
      <c r="BK38" s="44">
        <f t="shared" si="15"/>
        <v>0</v>
      </c>
      <c r="BL38" s="34"/>
      <c r="BO38" s="34" t="str">
        <f t="shared" si="9"/>
        <v>Улаз</v>
      </c>
      <c r="BP38" s="36" t="str">
        <f t="shared" si="10"/>
        <v>Датум</v>
      </c>
      <c r="BQ38" s="37" t="s">
        <v>46</v>
      </c>
      <c r="BR38" s="38" t="s">
        <v>1</v>
      </c>
      <c r="BS38" s="34">
        <v>1</v>
      </c>
      <c r="BT38" s="4">
        <v>0</v>
      </c>
      <c r="BU38" s="34">
        <v>0</v>
      </c>
      <c r="BV38" s="39">
        <f t="shared" si="16"/>
        <v>0</v>
      </c>
      <c r="BW38" s="39">
        <v>0</v>
      </c>
      <c r="BX38" s="39">
        <v>0</v>
      </c>
      <c r="BY38" s="39">
        <v>0</v>
      </c>
    </row>
    <row r="39" spans="53:77" ht="13.5" thickBot="1">
      <c r="BA39" s="69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6"/>
    </row>
    <row r="40" spans="53:77" ht="13.5" thickBot="1">
      <c r="BA40" s="15"/>
      <c r="BB40" s="15"/>
      <c r="BC40" s="15"/>
      <c r="BD40" s="15"/>
      <c r="BE40" s="15"/>
      <c r="BF40" s="45" t="s">
        <v>62</v>
      </c>
      <c r="BG40" s="46">
        <f>SUM(BG11:BG39)</f>
        <v>0</v>
      </c>
      <c r="BH40" s="15"/>
      <c r="BI40" s="45" t="s">
        <v>62</v>
      </c>
      <c r="BJ40" s="46">
        <f>SUM(BJ11:BJ39)</f>
        <v>0</v>
      </c>
      <c r="BK40" s="46">
        <f>SUM(BK11:BK39)</f>
        <v>0</v>
      </c>
      <c r="BL40" s="34"/>
      <c r="BM40" s="34"/>
    </row>
    <row r="41" spans="53:77" ht="15.75">
      <c r="BC41" s="88" t="s">
        <v>63</v>
      </c>
      <c r="BL41" s="26"/>
      <c r="BM41" s="34"/>
    </row>
    <row r="42" spans="53:77">
      <c r="BL42" s="34"/>
      <c r="BM42" s="34"/>
    </row>
    <row r="43" spans="53:77">
      <c r="BL43" s="26"/>
      <c r="BM43" s="34"/>
    </row>
    <row r="44" spans="53:77">
      <c r="BL44" s="34"/>
      <c r="BM44" s="34"/>
    </row>
    <row r="45" spans="53:77">
      <c r="BL45" s="26"/>
      <c r="BM45" s="34"/>
    </row>
    <row r="46" spans="53:77">
      <c r="BL46" s="34"/>
      <c r="BM46" s="34"/>
    </row>
    <row r="47" spans="53:77">
      <c r="BL47" s="26"/>
      <c r="BM47" s="34"/>
    </row>
    <row r="48" spans="53:77">
      <c r="BL48" s="34"/>
      <c r="BM48" s="34"/>
    </row>
    <row r="49" spans="64:65">
      <c r="BL49" s="26"/>
      <c r="BM49" s="34"/>
    </row>
    <row r="50" spans="64:65">
      <c r="BL50" s="34"/>
      <c r="BM50" s="34"/>
    </row>
    <row r="51" spans="64:65" ht="15.75">
      <c r="BL51" s="54"/>
      <c r="BM51" s="34"/>
    </row>
    <row r="52" spans="64:65">
      <c r="BL52" s="34"/>
    </row>
    <row r="53" spans="64:65" ht="15.75">
      <c r="BL53" s="54"/>
    </row>
    <row r="54" spans="64:65">
      <c r="BL54" s="34"/>
    </row>
    <row r="55" spans="64:65" ht="15.75">
      <c r="BL55" s="54"/>
    </row>
    <row r="56" spans="64:65">
      <c r="BL56" s="34"/>
    </row>
    <row r="57" spans="64:65" ht="15.75">
      <c r="BL57" s="54"/>
    </row>
    <row r="58" spans="64:65">
      <c r="BL58" s="34"/>
      <c r="BM58" s="34"/>
    </row>
    <row r="59" spans="64:65">
      <c r="BL59" s="34"/>
    </row>
    <row r="60" spans="64:65">
      <c r="BL60" s="34"/>
      <c r="BM60" s="37" t="s">
        <v>58</v>
      </c>
    </row>
    <row r="61" spans="64:65">
      <c r="BL61" s="34"/>
      <c r="BM61" s="37" t="s">
        <v>59</v>
      </c>
    </row>
    <row r="62" spans="64:65" ht="15.75">
      <c r="BL62" s="54"/>
      <c r="BM62" s="37" t="s">
        <v>60</v>
      </c>
    </row>
    <row r="63" spans="64:65">
      <c r="BL63" s="34"/>
      <c r="BM63" s="37" t="s">
        <v>61</v>
      </c>
    </row>
    <row r="64" spans="64:65" ht="15.75">
      <c r="BL64" s="54"/>
      <c r="BM64" s="37" t="s">
        <v>60</v>
      </c>
    </row>
    <row r="65" spans="64:65">
      <c r="BL65" s="34"/>
      <c r="BM65" s="34"/>
    </row>
    <row r="66" spans="64:65">
      <c r="BL66" s="34"/>
      <c r="BM66" s="34"/>
    </row>
    <row r="67" spans="64:65">
      <c r="BL67" s="34"/>
      <c r="BM67" s="34"/>
    </row>
    <row r="68" spans="64:65">
      <c r="BL68" s="34"/>
      <c r="BM68" s="34"/>
    </row>
    <row r="69" spans="64:65">
      <c r="BL69" s="34"/>
      <c r="BM69" s="34"/>
    </row>
    <row r="70" spans="64:65">
      <c r="BL70" s="34"/>
      <c r="BM70" s="34"/>
    </row>
    <row r="71" spans="64:65">
      <c r="BL71" s="34"/>
      <c r="BM71" s="34"/>
    </row>
    <row r="72" spans="64:65">
      <c r="BL72" s="34"/>
      <c r="BM72" s="34"/>
    </row>
    <row r="73" spans="64:65">
      <c r="BL73" s="34"/>
      <c r="BM73" s="34"/>
    </row>
    <row r="74" spans="64:65">
      <c r="BL74" s="34"/>
      <c r="BM74" s="34"/>
    </row>
    <row r="75" spans="64:65">
      <c r="BL75" s="34"/>
      <c r="BM75" s="34"/>
    </row>
    <row r="76" spans="64:65">
      <c r="BL76" s="34"/>
      <c r="BM76" s="34"/>
    </row>
    <row r="77" spans="64:65">
      <c r="BL77" s="34"/>
      <c r="BM77" s="34"/>
    </row>
    <row r="78" spans="64:65">
      <c r="BL78" s="34"/>
      <c r="BM78" s="34"/>
    </row>
  </sheetData>
  <mergeCells count="9">
    <mergeCell ref="BK7:BK8"/>
    <mergeCell ref="BF7:BG7"/>
    <mergeCell ref="BI7:BJ7"/>
    <mergeCell ref="BA7:BA8"/>
    <mergeCell ref="BB7:BB8"/>
    <mergeCell ref="BC7:BC8"/>
    <mergeCell ref="BD7:BD8"/>
    <mergeCell ref="BE7:BE8"/>
    <mergeCell ref="BH7:BH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485"/>
  <sheetViews>
    <sheetView topLeftCell="A4" workbookViewId="0">
      <selection activeCell="B26" sqref="B26:B27"/>
    </sheetView>
  </sheetViews>
  <sheetFormatPr defaultRowHeight="15"/>
  <cols>
    <col min="1" max="1" width="8.85546875" customWidth="1"/>
    <col min="2" max="2" width="10.85546875" customWidth="1"/>
    <col min="3" max="3" width="46.28515625" customWidth="1"/>
    <col min="4" max="4" width="0.42578125" customWidth="1"/>
    <col min="5" max="7" width="9.85546875" customWidth="1"/>
    <col min="8" max="11" width="12.85546875" customWidth="1"/>
  </cols>
  <sheetData>
    <row r="485" ht="13.15" customHeigh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480"/>
  <sheetViews>
    <sheetView topLeftCell="G1" workbookViewId="0">
      <selection activeCell="G21" sqref="G21"/>
    </sheetView>
  </sheetViews>
  <sheetFormatPr defaultColWidth="9.85546875" defaultRowHeight="12.75"/>
  <cols>
    <col min="1" max="1" width="12.85546875" style="90" customWidth="1"/>
    <col min="2" max="2" width="10.85546875" style="8" customWidth="1"/>
    <col min="3" max="3" width="45.7109375" style="8" customWidth="1"/>
    <col min="4" max="4" width="5.85546875" style="8" customWidth="1"/>
    <col min="5" max="5" width="10.85546875" style="4" customWidth="1"/>
    <col min="6" max="6" width="12.7109375" style="90" customWidth="1"/>
    <col min="7" max="10" width="9.85546875" style="4"/>
    <col min="11" max="11" width="12.85546875" style="90" customWidth="1"/>
    <col min="12" max="12" width="10.85546875" style="89" customWidth="1"/>
    <col min="13" max="13" width="45.85546875" style="89" customWidth="1"/>
    <col min="14" max="14" width="5.85546875" style="89" customWidth="1"/>
    <col min="15" max="15" width="10.85546875" style="4" customWidth="1"/>
    <col min="16" max="16" width="12.85546875" style="90" customWidth="1"/>
    <col min="17" max="17" width="10.85546875" style="4" customWidth="1"/>
    <col min="18" max="18" width="12.85546875" style="4" customWidth="1"/>
    <col min="19" max="19" width="10.85546875" style="4" customWidth="1"/>
    <col min="20" max="20" width="12.85546875" style="4" customWidth="1"/>
    <col min="21" max="21" width="10.85546875" style="4" customWidth="1"/>
    <col min="22" max="22" width="12.85546875" style="4" customWidth="1"/>
    <col min="23" max="25" width="9.85546875" style="4"/>
    <col min="26" max="26" width="12.85546875" style="4" customWidth="1"/>
    <col min="27" max="16384" width="9.85546875" style="4"/>
  </cols>
  <sheetData>
    <row r="1" spans="1:27" ht="13.5" thickBot="1">
      <c r="A1" s="4"/>
      <c r="B1" s="4"/>
      <c r="C1" s="11" t="s">
        <v>47</v>
      </c>
      <c r="D1" s="4"/>
      <c r="F1" s="4"/>
      <c r="K1" s="4"/>
      <c r="L1" s="4"/>
      <c r="M1" s="4"/>
      <c r="N1" s="4"/>
      <c r="P1" s="4"/>
    </row>
    <row r="2" spans="1:27" ht="13.5" thickBot="1">
      <c r="A2" s="4"/>
      <c r="B2" s="4"/>
      <c r="C2" s="4"/>
      <c r="D2" s="4"/>
      <c r="F2" s="4"/>
      <c r="K2" s="4"/>
      <c r="L2" s="4"/>
      <c r="M2" s="4"/>
      <c r="N2" s="4"/>
      <c r="P2" s="4"/>
      <c r="Q2" s="47" t="s">
        <v>48</v>
      </c>
      <c r="R2" s="48"/>
      <c r="S2" s="49" t="s">
        <v>49</v>
      </c>
      <c r="T2" s="48"/>
      <c r="U2" s="49" t="s">
        <v>50</v>
      </c>
      <c r="V2" s="48"/>
    </row>
    <row r="3" spans="1:27" ht="13.5" thickBot="1">
      <c r="A3" s="6" t="s">
        <v>9</v>
      </c>
      <c r="B3" s="6" t="s">
        <v>14</v>
      </c>
      <c r="C3" s="6" t="s">
        <v>51</v>
      </c>
      <c r="D3" s="50"/>
      <c r="E3" s="6" t="s">
        <v>8</v>
      </c>
      <c r="F3" s="4"/>
      <c r="K3" s="4"/>
      <c r="L3" s="4"/>
      <c r="M3" s="4"/>
      <c r="N3" s="4"/>
      <c r="P3" s="4"/>
    </row>
    <row r="4" spans="1:27" ht="13.5" thickBot="1">
      <c r="A4" s="51" t="s">
        <v>52</v>
      </c>
      <c r="B4" s="6" t="s">
        <v>53</v>
      </c>
      <c r="C4" s="6" t="s">
        <v>53</v>
      </c>
      <c r="D4" s="6"/>
      <c r="E4" s="51" t="s">
        <v>52</v>
      </c>
      <c r="F4" s="4"/>
      <c r="K4" s="4"/>
      <c r="L4" s="4"/>
      <c r="M4" s="4"/>
      <c r="N4" s="4"/>
      <c r="P4" s="4"/>
      <c r="Q4" s="6" t="s">
        <v>8</v>
      </c>
      <c r="R4" s="6" t="s">
        <v>15</v>
      </c>
      <c r="S4" s="6" t="s">
        <v>8</v>
      </c>
      <c r="T4" s="6" t="s">
        <v>15</v>
      </c>
      <c r="U4" s="6" t="s">
        <v>8</v>
      </c>
      <c r="V4" s="6" t="s">
        <v>15</v>
      </c>
      <c r="Z4" s="4" t="s">
        <v>66</v>
      </c>
    </row>
    <row r="5" spans="1:27">
      <c r="A5" s="4"/>
      <c r="B5" s="4"/>
      <c r="C5" s="4"/>
      <c r="D5" s="4"/>
      <c r="F5" s="4"/>
      <c r="K5" s="4"/>
      <c r="L5" s="4"/>
      <c r="M5" s="4"/>
      <c r="N5" s="4"/>
      <c r="P5" s="4"/>
      <c r="Q5" s="91"/>
      <c r="R5" s="90">
        <f>Q5*K5</f>
        <v>0</v>
      </c>
      <c r="S5" s="4">
        <f>IF(O5&gt;=Q5,+O5-Q5,0)</f>
        <v>0</v>
      </c>
      <c r="T5" s="90">
        <f>IF(P5&gt;=R5,+P5-R5,0)</f>
        <v>0</v>
      </c>
      <c r="U5" s="4">
        <f>IF(Q5&gt;O5,Q5-O5,0)</f>
        <v>0</v>
      </c>
      <c r="V5" s="90">
        <f>IF(R5&gt;P5,R5-P5,0)</f>
        <v>0</v>
      </c>
      <c r="Z5" s="4" t="s">
        <v>67</v>
      </c>
    </row>
    <row r="6" spans="1:27">
      <c r="A6" s="10"/>
      <c r="B6" s="4"/>
      <c r="E6" s="8"/>
      <c r="F6" s="10"/>
      <c r="K6" s="4"/>
      <c r="L6" s="4"/>
      <c r="M6" s="4"/>
      <c r="N6" s="4"/>
      <c r="P6" s="4"/>
    </row>
    <row r="7" spans="1:27" ht="13.5" thickBot="1">
      <c r="A7" s="4"/>
      <c r="B7" s="4"/>
      <c r="C7" s="13" t="s">
        <v>54</v>
      </c>
      <c r="D7" s="4"/>
      <c r="F7" s="10">
        <f>SUM(F10:F11)</f>
        <v>0</v>
      </c>
      <c r="K7" s="4"/>
      <c r="L7" s="4"/>
      <c r="M7" s="4"/>
      <c r="N7" s="4"/>
      <c r="P7" s="4"/>
    </row>
    <row r="8" spans="1:27" ht="13.5" thickBot="1">
      <c r="A8" s="4"/>
      <c r="B8" s="4"/>
      <c r="C8" s="4"/>
      <c r="D8" s="4"/>
      <c r="F8" s="4"/>
      <c r="K8" s="47" t="s">
        <v>1</v>
      </c>
      <c r="L8" s="52"/>
      <c r="M8" s="52" t="s">
        <v>55</v>
      </c>
      <c r="N8" s="52"/>
      <c r="O8" s="49" t="s">
        <v>56</v>
      </c>
      <c r="P8" s="48"/>
    </row>
    <row r="9" spans="1:27" ht="13.5" thickBot="1">
      <c r="A9" s="6" t="s">
        <v>9</v>
      </c>
      <c r="B9" s="6" t="s">
        <v>14</v>
      </c>
      <c r="C9" s="6" t="s">
        <v>51</v>
      </c>
      <c r="D9" s="50" t="s">
        <v>57</v>
      </c>
      <c r="E9" s="6" t="s">
        <v>8</v>
      </c>
      <c r="F9" s="6" t="s">
        <v>15</v>
      </c>
      <c r="K9" s="4"/>
      <c r="L9" s="4"/>
      <c r="M9" s="4"/>
      <c r="N9" s="4"/>
      <c r="P9" s="4"/>
      <c r="Y9" s="4" t="s">
        <v>66</v>
      </c>
      <c r="Z9" s="4" t="s">
        <v>66</v>
      </c>
    </row>
    <row r="10" spans="1:27" ht="13.5" thickBot="1">
      <c r="A10" s="53"/>
      <c r="F10" s="53"/>
      <c r="I10" s="10"/>
      <c r="K10" s="6" t="s">
        <v>9</v>
      </c>
      <c r="L10" s="6" t="s">
        <v>14</v>
      </c>
      <c r="M10" s="6" t="s">
        <v>51</v>
      </c>
      <c r="N10" s="50" t="s">
        <v>57</v>
      </c>
      <c r="O10" s="6" t="s">
        <v>8</v>
      </c>
      <c r="P10" s="6" t="s">
        <v>15</v>
      </c>
      <c r="Y10" s="90" t="s">
        <v>68</v>
      </c>
      <c r="Z10" s="90" t="s">
        <v>68</v>
      </c>
      <c r="AA10" s="90" t="s">
        <v>69</v>
      </c>
    </row>
    <row r="11" spans="1:27">
      <c r="A11" s="53"/>
      <c r="F11" s="53"/>
      <c r="I11" s="10"/>
      <c r="Y11" s="90" t="s">
        <v>70</v>
      </c>
      <c r="Z11" s="90" t="s">
        <v>70</v>
      </c>
      <c r="AA11" s="90" t="s">
        <v>71</v>
      </c>
    </row>
    <row r="12" spans="1:27">
      <c r="A12" s="53"/>
      <c r="F12" s="53"/>
      <c r="I12" s="10"/>
      <c r="Y12" s="90"/>
      <c r="Z12" s="90" t="s">
        <v>72</v>
      </c>
      <c r="AA12" s="90" t="s">
        <v>73</v>
      </c>
    </row>
    <row r="13" spans="1:27">
      <c r="I13" s="10"/>
      <c r="Y13" s="8"/>
      <c r="Z13" s="90" t="s">
        <v>74</v>
      </c>
      <c r="AA13" s="90" t="s">
        <v>75</v>
      </c>
    </row>
    <row r="14" spans="1:27">
      <c r="I14" s="10"/>
      <c r="Y14" s="8"/>
      <c r="Z14" s="90"/>
      <c r="AA14" s="90"/>
    </row>
    <row r="15" spans="1:27">
      <c r="I15" s="10"/>
      <c r="Y15" s="8"/>
      <c r="Z15" s="8"/>
      <c r="AA15" s="8"/>
    </row>
    <row r="16" spans="1:27">
      <c r="I16" s="10"/>
      <c r="Y16" s="8"/>
      <c r="Z16" s="8"/>
      <c r="AA16" s="8"/>
    </row>
    <row r="17" spans="9:27">
      <c r="I17" s="10"/>
      <c r="Y17" s="8"/>
      <c r="Z17" s="8"/>
      <c r="AA17" s="8"/>
    </row>
    <row r="18" spans="9:27">
      <c r="I18" s="10"/>
      <c r="Y18" s="8"/>
      <c r="Z18" s="8"/>
      <c r="AA18" s="8"/>
    </row>
    <row r="19" spans="9:27">
      <c r="Y19" s="8"/>
      <c r="Z19" s="8"/>
      <c r="AA19" s="8"/>
    </row>
    <row r="20" spans="9:27">
      <c r="Y20" s="8"/>
      <c r="Z20" s="8"/>
      <c r="AA20" s="8"/>
    </row>
    <row r="21" spans="9:27">
      <c r="Y21" s="8"/>
      <c r="Z21" s="8"/>
      <c r="AA21" s="8"/>
    </row>
    <row r="22" spans="9:27">
      <c r="Y22" s="8"/>
      <c r="Z22" s="8"/>
      <c r="AA22" s="8"/>
    </row>
    <row r="23" spans="9:27">
      <c r="Y23" s="8"/>
      <c r="Z23" s="8"/>
      <c r="AA23" s="8"/>
    </row>
    <row r="24" spans="9:27">
      <c r="Y24" s="8"/>
      <c r="Z24" s="8"/>
      <c r="AA24" s="8"/>
    </row>
    <row r="25" spans="9:27">
      <c r="Y25" s="8"/>
      <c r="Z25" s="8"/>
      <c r="AA25" s="8"/>
    </row>
    <row r="26" spans="9:27">
      <c r="Y26" s="8"/>
      <c r="Z26" s="8"/>
      <c r="AA26" s="8"/>
    </row>
    <row r="27" spans="9:27">
      <c r="Y27" s="8"/>
      <c r="Z27" s="8"/>
      <c r="AA27" s="8"/>
    </row>
    <row r="28" spans="9:27">
      <c r="Y28" s="8"/>
      <c r="Z28" s="8"/>
      <c r="AA28" s="8"/>
    </row>
    <row r="29" spans="9:27">
      <c r="Y29" s="8"/>
      <c r="Z29" s="8"/>
      <c r="AA29" s="8"/>
    </row>
    <row r="30" spans="9:27">
      <c r="Y30" s="8"/>
      <c r="Z30" s="8"/>
      <c r="AA30" s="8"/>
    </row>
    <row r="31" spans="9:27">
      <c r="Y31" s="8"/>
      <c r="Z31" s="8"/>
      <c r="AA31" s="8"/>
    </row>
    <row r="32" spans="9:27">
      <c r="Y32" s="8"/>
      <c r="Z32" s="8"/>
      <c r="AA32" s="8"/>
    </row>
    <row r="33" spans="25:27">
      <c r="Y33" s="8"/>
      <c r="Z33" s="8"/>
      <c r="AA33" s="8"/>
    </row>
    <row r="34" spans="25:27">
      <c r="Y34" s="8"/>
      <c r="Z34" s="8"/>
      <c r="AA34" s="8"/>
    </row>
    <row r="35" spans="25:27">
      <c r="Y35" s="8"/>
      <c r="Z35" s="8"/>
      <c r="AA35" s="8"/>
    </row>
    <row r="36" spans="25:27">
      <c r="Y36" s="8"/>
      <c r="Z36" s="8"/>
      <c r="AA36" s="8"/>
    </row>
    <row r="37" spans="25:27">
      <c r="Y37" s="8"/>
      <c r="Z37" s="8"/>
      <c r="AA37" s="8"/>
    </row>
    <row r="38" spans="25:27">
      <c r="Y38" s="8"/>
      <c r="Z38" s="8"/>
      <c r="AA38" s="8"/>
    </row>
    <row r="39" spans="25:27">
      <c r="Y39" s="8"/>
      <c r="Z39" s="8"/>
      <c r="AA39" s="8"/>
    </row>
    <row r="40" spans="25:27">
      <c r="Y40" s="8"/>
      <c r="Z40" s="8"/>
      <c r="AA40" s="8"/>
    </row>
    <row r="41" spans="25:27">
      <c r="Y41" s="8"/>
      <c r="Z41" s="8"/>
      <c r="AA41" s="8"/>
    </row>
    <row r="42" spans="25:27">
      <c r="Y42" s="8"/>
      <c r="Z42" s="8"/>
      <c r="AA42" s="8"/>
    </row>
    <row r="43" spans="25:27">
      <c r="Y43" s="8"/>
      <c r="Z43" s="8"/>
      <c r="AA43" s="8"/>
    </row>
    <row r="44" spans="25:27">
      <c r="Y44" s="8"/>
      <c r="Z44" s="8"/>
      <c r="AA44" s="8"/>
    </row>
    <row r="45" spans="25:27">
      <c r="Y45" s="8"/>
      <c r="Z45" s="8"/>
      <c r="AA45" s="8"/>
    </row>
    <row r="46" spans="25:27">
      <c r="Y46" s="8"/>
      <c r="Z46" s="8"/>
      <c r="AA46" s="8"/>
    </row>
    <row r="47" spans="25:27">
      <c r="Y47" s="8"/>
      <c r="Z47" s="8"/>
      <c r="AA47" s="8"/>
    </row>
    <row r="48" spans="25:27">
      <c r="Y48" s="8"/>
      <c r="Z48" s="8"/>
      <c r="AA48" s="8"/>
    </row>
    <row r="49" spans="25:27">
      <c r="Y49" s="8"/>
      <c r="Z49" s="8"/>
      <c r="AA49" s="8"/>
    </row>
    <row r="50" spans="25:27">
      <c r="Y50" s="8"/>
      <c r="Z50" s="8"/>
      <c r="AA50" s="8"/>
    </row>
    <row r="51" spans="25:27">
      <c r="Y51" s="8"/>
      <c r="Z51" s="8"/>
      <c r="AA51" s="8"/>
    </row>
    <row r="52" spans="25:27">
      <c r="Y52" s="8"/>
      <c r="Z52" s="8"/>
      <c r="AA52" s="8"/>
    </row>
    <row r="53" spans="25:27">
      <c r="Y53" s="8"/>
      <c r="Z53" s="8"/>
      <c r="AA53" s="8"/>
    </row>
    <row r="54" spans="25:27">
      <c r="Y54" s="8"/>
      <c r="Z54" s="8"/>
      <c r="AA54" s="8"/>
    </row>
    <row r="55" spans="25:27">
      <c r="Y55" s="8"/>
      <c r="Z55" s="8"/>
      <c r="AA55" s="8"/>
    </row>
    <row r="56" spans="25:27">
      <c r="Y56" s="8"/>
      <c r="Z56" s="8"/>
      <c r="AA56" s="8"/>
    </row>
    <row r="57" spans="25:27">
      <c r="Y57" s="8"/>
      <c r="Z57" s="8"/>
      <c r="AA57" s="8"/>
    </row>
    <row r="58" spans="25:27">
      <c r="Y58" s="8"/>
      <c r="Z58" s="8"/>
      <c r="AA58" s="8"/>
    </row>
    <row r="59" spans="25:27">
      <c r="Y59" s="8"/>
      <c r="Z59" s="8"/>
      <c r="AA59" s="8"/>
    </row>
    <row r="60" spans="25:27">
      <c r="Y60" s="8"/>
      <c r="Z60" s="8"/>
      <c r="AA60" s="8"/>
    </row>
    <row r="61" spans="25:27">
      <c r="Y61" s="8"/>
      <c r="Z61" s="8"/>
      <c r="AA61" s="8"/>
    </row>
    <row r="62" spans="25:27">
      <c r="Y62" s="8"/>
      <c r="Z62" s="8"/>
      <c r="AA62" s="8"/>
    </row>
    <row r="63" spans="25:27">
      <c r="Y63" s="8"/>
      <c r="Z63" s="8"/>
      <c r="AA63" s="8"/>
    </row>
    <row r="64" spans="25:27">
      <c r="Y64" s="8"/>
      <c r="Z64" s="8"/>
      <c r="AA64" s="8"/>
    </row>
    <row r="65" spans="25:27">
      <c r="Y65" s="8"/>
      <c r="Z65" s="8"/>
      <c r="AA65" s="8"/>
    </row>
    <row r="66" spans="25:27">
      <c r="Y66" s="8"/>
      <c r="Z66" s="8"/>
      <c r="AA66" s="8"/>
    </row>
    <row r="67" spans="25:27">
      <c r="Y67" s="8"/>
      <c r="Z67" s="8"/>
      <c r="AA67" s="8"/>
    </row>
    <row r="68" spans="25:27">
      <c r="Y68" s="8"/>
      <c r="Z68" s="8"/>
      <c r="AA68" s="8"/>
    </row>
    <row r="69" spans="25:27">
      <c r="Y69" s="8"/>
      <c r="Z69" s="8"/>
      <c r="AA69" s="8"/>
    </row>
    <row r="70" spans="25:27">
      <c r="Y70" s="8"/>
      <c r="Z70" s="8"/>
      <c r="AA70" s="8"/>
    </row>
    <row r="71" spans="25:27">
      <c r="Y71" s="8"/>
      <c r="Z71" s="8"/>
      <c r="AA71" s="8"/>
    </row>
    <row r="72" spans="25:27">
      <c r="Y72" s="8"/>
      <c r="Z72" s="8"/>
      <c r="AA72" s="8"/>
    </row>
    <row r="73" spans="25:27">
      <c r="Y73" s="8"/>
      <c r="Z73" s="8"/>
      <c r="AA73" s="8"/>
    </row>
    <row r="74" spans="25:27">
      <c r="Y74" s="8"/>
      <c r="Z74" s="8"/>
      <c r="AA74" s="8"/>
    </row>
    <row r="75" spans="25:27">
      <c r="Y75" s="8"/>
      <c r="Z75" s="8"/>
      <c r="AA75" s="8"/>
    </row>
    <row r="76" spans="25:27">
      <c r="Y76" s="8"/>
      <c r="Z76" s="8"/>
      <c r="AA76" s="8"/>
    </row>
    <row r="77" spans="25:27">
      <c r="Y77" s="8"/>
      <c r="Z77" s="8"/>
      <c r="AA77" s="8"/>
    </row>
    <row r="78" spans="25:27">
      <c r="Y78" s="8"/>
      <c r="Z78" s="8"/>
      <c r="AA78" s="8"/>
    </row>
    <row r="79" spans="25:27">
      <c r="Y79" s="8"/>
      <c r="Z79" s="8"/>
      <c r="AA79" s="8"/>
    </row>
    <row r="80" spans="25:27">
      <c r="Y80" s="8"/>
      <c r="Z80" s="8"/>
      <c r="AA80" s="8"/>
    </row>
    <row r="81" spans="25:27">
      <c r="Y81" s="8"/>
      <c r="Z81" s="8"/>
      <c r="AA81" s="8"/>
    </row>
    <row r="82" spans="25:27">
      <c r="Y82" s="8"/>
      <c r="Z82" s="8"/>
      <c r="AA82" s="8"/>
    </row>
    <row r="83" spans="25:27">
      <c r="Y83" s="8"/>
      <c r="Z83" s="8"/>
      <c r="AA83" s="8"/>
    </row>
    <row r="84" spans="25:27">
      <c r="Y84" s="8"/>
      <c r="Z84" s="8"/>
      <c r="AA84" s="8"/>
    </row>
    <row r="85" spans="25:27">
      <c r="Y85" s="8"/>
      <c r="Z85" s="8"/>
      <c r="AA85" s="8"/>
    </row>
    <row r="86" spans="25:27">
      <c r="Y86" s="8"/>
      <c r="Z86" s="8"/>
      <c r="AA86" s="8"/>
    </row>
    <row r="87" spans="25:27">
      <c r="Y87" s="8"/>
      <c r="Z87" s="8"/>
      <c r="AA87" s="8"/>
    </row>
    <row r="88" spans="25:27">
      <c r="Y88" s="8"/>
      <c r="Z88" s="8"/>
      <c r="AA88" s="8"/>
    </row>
    <row r="89" spans="25:27">
      <c r="Y89" s="8"/>
      <c r="Z89" s="8"/>
      <c r="AA89" s="8"/>
    </row>
    <row r="90" spans="25:27">
      <c r="Y90" s="8"/>
      <c r="Z90" s="8"/>
      <c r="AA90" s="8"/>
    </row>
    <row r="91" spans="25:27">
      <c r="Y91" s="8"/>
      <c r="Z91" s="8"/>
      <c r="AA91" s="8"/>
    </row>
    <row r="92" spans="25:27">
      <c r="Y92" s="8"/>
      <c r="Z92" s="8"/>
      <c r="AA92" s="8"/>
    </row>
    <row r="93" spans="25:27">
      <c r="Y93" s="8"/>
      <c r="Z93" s="8"/>
      <c r="AA93" s="8"/>
    </row>
    <row r="94" spans="25:27">
      <c r="Y94" s="8"/>
      <c r="Z94" s="8"/>
      <c r="AA94" s="8"/>
    </row>
    <row r="95" spans="25:27">
      <c r="Y95" s="8"/>
      <c r="Z95" s="8"/>
      <c r="AA95" s="8"/>
    </row>
    <row r="96" spans="25:27">
      <c r="Y96" s="8"/>
      <c r="Z96" s="8"/>
      <c r="AA96" s="8"/>
    </row>
    <row r="97" spans="25:27">
      <c r="Y97" s="8"/>
      <c r="Z97" s="8"/>
      <c r="AA97" s="8"/>
    </row>
    <row r="98" spans="25:27">
      <c r="Y98" s="8"/>
      <c r="Z98" s="8"/>
      <c r="AA98" s="8"/>
    </row>
    <row r="99" spans="25:27">
      <c r="Y99" s="8"/>
      <c r="Z99" s="8"/>
      <c r="AA99" s="8"/>
    </row>
    <row r="100" spans="25:27">
      <c r="Y100" s="8"/>
      <c r="Z100" s="8"/>
      <c r="AA100" s="8"/>
    </row>
    <row r="101" spans="25:27">
      <c r="Y101" s="8"/>
      <c r="Z101" s="8"/>
      <c r="AA101" s="8"/>
    </row>
    <row r="102" spans="25:27">
      <c r="Y102" s="8"/>
      <c r="Z102" s="8"/>
      <c r="AA102" s="8"/>
    </row>
    <row r="103" spans="25:27">
      <c r="Y103" s="8"/>
      <c r="Z103" s="8"/>
      <c r="AA103" s="8"/>
    </row>
    <row r="104" spans="25:27">
      <c r="Y104" s="8"/>
      <c r="Z104" s="8"/>
      <c r="AA104" s="8"/>
    </row>
    <row r="105" spans="25:27">
      <c r="Y105" s="8"/>
      <c r="Z105" s="8"/>
      <c r="AA105" s="8"/>
    </row>
    <row r="106" spans="25:27">
      <c r="Y106" s="8"/>
      <c r="Z106" s="8"/>
      <c r="AA106" s="8"/>
    </row>
    <row r="107" spans="25:27">
      <c r="Y107" s="8"/>
      <c r="Z107" s="8"/>
      <c r="AA107" s="8"/>
    </row>
    <row r="108" spans="25:27">
      <c r="Y108" s="8"/>
      <c r="Z108" s="8"/>
      <c r="AA108" s="8"/>
    </row>
    <row r="109" spans="25:27">
      <c r="Y109" s="8"/>
      <c r="Z109" s="8"/>
      <c r="AA109" s="8"/>
    </row>
    <row r="110" spans="25:27">
      <c r="Y110" s="8"/>
      <c r="Z110" s="8"/>
      <c r="AA110" s="8"/>
    </row>
    <row r="111" spans="25:27">
      <c r="Y111" s="8"/>
      <c r="Z111" s="8"/>
      <c r="AA111" s="8"/>
    </row>
    <row r="112" spans="25:27">
      <c r="Y112" s="8"/>
      <c r="Z112" s="8"/>
      <c r="AA112" s="8"/>
    </row>
    <row r="113" spans="25:27">
      <c r="Y113" s="8"/>
      <c r="Z113" s="8"/>
      <c r="AA113" s="8"/>
    </row>
    <row r="114" spans="25:27">
      <c r="Y114" s="8"/>
      <c r="Z114" s="8"/>
      <c r="AA114" s="8"/>
    </row>
    <row r="115" spans="25:27">
      <c r="Y115" s="8"/>
      <c r="Z115" s="8"/>
      <c r="AA115" s="8"/>
    </row>
    <row r="116" spans="25:27">
      <c r="Y116" s="8"/>
      <c r="Z116" s="8"/>
      <c r="AA116" s="8"/>
    </row>
    <row r="117" spans="25:27">
      <c r="Y117" s="8"/>
      <c r="Z117" s="8"/>
      <c r="AA117" s="8"/>
    </row>
    <row r="118" spans="25:27">
      <c r="Y118" s="8"/>
      <c r="Z118" s="8"/>
      <c r="AA118" s="8"/>
    </row>
    <row r="119" spans="25:27">
      <c r="Y119" s="8"/>
      <c r="Z119" s="8"/>
      <c r="AA119" s="8"/>
    </row>
    <row r="120" spans="25:27">
      <c r="Y120" s="8"/>
      <c r="Z120" s="8"/>
      <c r="AA120" s="8"/>
    </row>
    <row r="121" spans="25:27">
      <c r="Y121" s="8"/>
      <c r="Z121" s="8"/>
      <c r="AA121" s="8"/>
    </row>
    <row r="122" spans="25:27">
      <c r="Y122" s="8"/>
      <c r="Z122" s="8"/>
      <c r="AA122" s="8"/>
    </row>
    <row r="123" spans="25:27">
      <c r="Y123" s="8"/>
      <c r="Z123" s="8"/>
      <c r="AA123" s="8"/>
    </row>
    <row r="124" spans="25:27">
      <c r="Y124" s="8"/>
      <c r="Z124" s="8"/>
      <c r="AA124" s="8"/>
    </row>
    <row r="125" spans="25:27">
      <c r="Y125" s="8"/>
      <c r="Z125" s="8"/>
      <c r="AA125" s="8"/>
    </row>
    <row r="126" spans="25:27">
      <c r="Y126" s="8"/>
      <c r="Z126" s="8"/>
      <c r="AA126" s="8"/>
    </row>
    <row r="127" spans="25:27">
      <c r="Y127" s="8"/>
      <c r="Z127" s="8"/>
      <c r="AA127" s="8"/>
    </row>
    <row r="128" spans="25:27">
      <c r="Y128" s="8"/>
      <c r="Z128" s="8"/>
      <c r="AA128" s="8"/>
    </row>
    <row r="129" spans="25:27">
      <c r="Y129" s="8"/>
      <c r="Z129" s="8"/>
      <c r="AA129" s="8"/>
    </row>
    <row r="130" spans="25:27">
      <c r="Y130" s="8"/>
      <c r="Z130" s="8"/>
      <c r="AA130" s="8"/>
    </row>
    <row r="131" spans="25:27">
      <c r="Y131" s="8"/>
      <c r="Z131" s="8"/>
      <c r="AA131" s="8"/>
    </row>
    <row r="132" spans="25:27">
      <c r="Y132" s="8"/>
      <c r="Z132" s="8"/>
      <c r="AA132" s="8"/>
    </row>
    <row r="133" spans="25:27">
      <c r="Y133" s="8"/>
      <c r="Z133" s="8"/>
      <c r="AA133" s="8"/>
    </row>
    <row r="134" spans="25:27">
      <c r="Y134" s="8"/>
      <c r="Z134" s="8"/>
      <c r="AA134" s="8"/>
    </row>
    <row r="135" spans="25:27">
      <c r="Y135" s="8"/>
      <c r="Z135" s="8"/>
      <c r="AA135" s="8"/>
    </row>
    <row r="136" spans="25:27">
      <c r="Y136" s="8"/>
      <c r="Z136" s="8"/>
      <c r="AA136" s="8"/>
    </row>
    <row r="137" spans="25:27">
      <c r="Y137" s="8"/>
      <c r="Z137" s="8"/>
      <c r="AA137" s="8"/>
    </row>
    <row r="138" spans="25:27">
      <c r="Y138" s="8"/>
      <c r="Z138" s="8"/>
      <c r="AA138" s="8"/>
    </row>
    <row r="139" spans="25:27">
      <c r="Y139" s="8"/>
      <c r="Z139" s="8"/>
      <c r="AA139" s="8"/>
    </row>
    <row r="140" spans="25:27">
      <c r="Y140" s="8"/>
      <c r="Z140" s="8"/>
      <c r="AA140" s="8"/>
    </row>
    <row r="141" spans="25:27">
      <c r="Y141" s="8"/>
      <c r="Z141" s="8"/>
      <c r="AA141" s="8"/>
    </row>
    <row r="142" spans="25:27">
      <c r="Y142" s="8"/>
      <c r="Z142" s="8"/>
      <c r="AA142" s="8"/>
    </row>
    <row r="143" spans="25:27">
      <c r="Y143" s="8"/>
      <c r="Z143" s="8"/>
      <c r="AA143" s="8"/>
    </row>
    <row r="144" spans="25:27">
      <c r="Y144" s="8"/>
      <c r="Z144" s="8"/>
      <c r="AA144" s="8"/>
    </row>
    <row r="145" spans="25:27">
      <c r="Y145" s="8"/>
      <c r="Z145" s="8"/>
      <c r="AA145" s="8"/>
    </row>
    <row r="146" spans="25:27">
      <c r="Y146" s="8"/>
      <c r="Z146" s="8"/>
      <c r="AA146" s="8"/>
    </row>
    <row r="147" spans="25:27">
      <c r="Y147" s="8"/>
      <c r="Z147" s="8"/>
      <c r="AA147" s="8"/>
    </row>
    <row r="148" spans="25:27">
      <c r="Y148" s="8"/>
      <c r="Z148" s="8"/>
      <c r="AA148" s="8"/>
    </row>
    <row r="149" spans="25:27">
      <c r="Y149" s="8"/>
      <c r="Z149" s="8"/>
      <c r="AA149" s="8"/>
    </row>
    <row r="150" spans="25:27">
      <c r="Y150" s="8"/>
      <c r="Z150" s="8"/>
      <c r="AA150" s="8"/>
    </row>
    <row r="151" spans="25:27">
      <c r="Y151" s="8"/>
      <c r="Z151" s="8"/>
      <c r="AA151" s="8"/>
    </row>
    <row r="152" spans="25:27">
      <c r="Y152" s="8"/>
      <c r="Z152" s="8"/>
      <c r="AA152" s="8"/>
    </row>
    <row r="153" spans="25:27">
      <c r="Y153" s="8"/>
      <c r="Z153" s="8"/>
      <c r="AA153" s="8"/>
    </row>
    <row r="154" spans="25:27">
      <c r="Y154" s="8"/>
      <c r="Z154" s="8"/>
      <c r="AA154" s="8"/>
    </row>
    <row r="155" spans="25:27">
      <c r="Y155" s="8"/>
      <c r="Z155" s="8"/>
      <c r="AA155" s="8"/>
    </row>
    <row r="156" spans="25:27">
      <c r="Y156" s="8"/>
      <c r="Z156" s="8"/>
      <c r="AA156" s="8"/>
    </row>
    <row r="157" spans="25:27">
      <c r="Y157" s="8"/>
      <c r="Z157" s="8"/>
      <c r="AA157" s="8"/>
    </row>
    <row r="158" spans="25:27">
      <c r="Y158" s="8"/>
      <c r="Z158" s="8"/>
      <c r="AA158" s="8"/>
    </row>
    <row r="159" spans="25:27">
      <c r="Y159" s="8"/>
      <c r="Z159" s="8"/>
      <c r="AA159" s="8"/>
    </row>
    <row r="160" spans="25:27">
      <c r="Y160" s="8"/>
      <c r="Z160" s="8"/>
      <c r="AA160" s="8"/>
    </row>
    <row r="161" spans="25:27">
      <c r="Y161" s="8"/>
      <c r="Z161" s="8"/>
      <c r="AA161" s="8"/>
    </row>
    <row r="162" spans="25:27">
      <c r="Y162" s="8"/>
      <c r="Z162" s="8"/>
      <c r="AA162" s="8"/>
    </row>
    <row r="163" spans="25:27">
      <c r="Y163" s="8"/>
      <c r="Z163" s="8"/>
      <c r="AA163" s="8"/>
    </row>
    <row r="164" spans="25:27">
      <c r="Y164" s="8"/>
      <c r="Z164" s="8"/>
      <c r="AA164" s="8"/>
    </row>
    <row r="165" spans="25:27">
      <c r="Y165" s="8"/>
      <c r="Z165" s="8"/>
      <c r="AA165" s="8"/>
    </row>
    <row r="166" spans="25:27">
      <c r="Y166" s="8"/>
      <c r="Z166" s="8"/>
      <c r="AA166" s="8"/>
    </row>
    <row r="167" spans="25:27">
      <c r="Y167" s="8"/>
      <c r="Z167" s="8"/>
      <c r="AA167" s="8"/>
    </row>
    <row r="168" spans="25:27">
      <c r="Y168" s="8"/>
      <c r="Z168" s="8"/>
      <c r="AA168" s="8"/>
    </row>
    <row r="169" spans="25:27">
      <c r="Y169" s="8"/>
      <c r="Z169" s="8"/>
      <c r="AA169" s="8"/>
    </row>
    <row r="170" spans="25:27">
      <c r="Y170" s="8"/>
      <c r="Z170" s="8"/>
      <c r="AA170" s="8"/>
    </row>
    <row r="171" spans="25:27">
      <c r="Y171" s="8"/>
      <c r="Z171" s="8"/>
      <c r="AA171" s="8"/>
    </row>
    <row r="172" spans="25:27">
      <c r="Y172" s="8"/>
      <c r="Z172" s="8"/>
      <c r="AA172" s="8"/>
    </row>
    <row r="173" spans="25:27">
      <c r="Y173" s="8"/>
      <c r="Z173" s="8"/>
      <c r="AA173" s="8"/>
    </row>
    <row r="174" spans="25:27">
      <c r="Y174" s="8"/>
      <c r="Z174" s="8"/>
      <c r="AA174" s="8"/>
    </row>
    <row r="175" spans="25:27">
      <c r="Y175" s="8"/>
      <c r="Z175" s="8"/>
      <c r="AA175" s="8"/>
    </row>
    <row r="176" spans="25:27">
      <c r="Y176" s="8"/>
      <c r="Z176" s="8"/>
      <c r="AA176" s="8"/>
    </row>
    <row r="177" spans="25:27">
      <c r="Y177" s="8"/>
      <c r="Z177" s="8"/>
      <c r="AA177" s="8"/>
    </row>
    <row r="178" spans="25:27">
      <c r="Y178" s="8"/>
      <c r="Z178" s="8"/>
      <c r="AA178" s="8"/>
    </row>
    <row r="179" spans="25:27">
      <c r="Y179" s="8"/>
      <c r="Z179" s="8"/>
      <c r="AA179" s="8"/>
    </row>
    <row r="180" spans="25:27">
      <c r="Y180" s="8"/>
      <c r="Z180" s="8"/>
      <c r="AA180" s="8"/>
    </row>
    <row r="181" spans="25:27">
      <c r="Y181" s="8"/>
      <c r="Z181" s="8"/>
      <c r="AA181" s="8"/>
    </row>
    <row r="182" spans="25:27">
      <c r="Y182" s="8"/>
      <c r="Z182" s="8"/>
      <c r="AA182" s="8"/>
    </row>
    <row r="183" spans="25:27">
      <c r="Y183" s="8"/>
      <c r="Z183" s="8"/>
      <c r="AA183" s="8"/>
    </row>
    <row r="184" spans="25:27">
      <c r="Y184" s="8"/>
      <c r="Z184" s="8"/>
      <c r="AA184" s="8"/>
    </row>
    <row r="185" spans="25:27">
      <c r="Y185" s="8"/>
      <c r="Z185" s="8"/>
      <c r="AA185" s="8"/>
    </row>
    <row r="186" spans="25:27">
      <c r="Y186" s="8"/>
      <c r="Z186" s="8"/>
      <c r="AA186" s="8"/>
    </row>
    <row r="187" spans="25:27">
      <c r="Y187" s="8"/>
      <c r="Z187" s="8"/>
      <c r="AA187" s="8"/>
    </row>
    <row r="188" spans="25:27">
      <c r="Y188" s="8"/>
      <c r="Z188" s="8"/>
      <c r="AA188" s="8"/>
    </row>
    <row r="189" spans="25:27">
      <c r="Y189" s="8"/>
      <c r="Z189" s="8"/>
      <c r="AA189" s="8"/>
    </row>
    <row r="190" spans="25:27">
      <c r="Y190" s="8"/>
      <c r="Z190" s="8"/>
      <c r="AA190" s="8"/>
    </row>
    <row r="191" spans="25:27">
      <c r="Y191" s="8"/>
      <c r="Z191" s="8"/>
      <c r="AA191" s="8"/>
    </row>
    <row r="192" spans="25:27">
      <c r="Y192" s="8"/>
      <c r="Z192" s="8"/>
      <c r="AA192" s="8"/>
    </row>
    <row r="193" spans="25:27">
      <c r="Y193" s="8"/>
      <c r="Z193" s="8"/>
      <c r="AA193" s="8"/>
    </row>
    <row r="194" spans="25:27">
      <c r="Y194" s="8"/>
      <c r="Z194" s="8"/>
      <c r="AA194" s="8"/>
    </row>
    <row r="195" spans="25:27">
      <c r="Y195" s="8"/>
      <c r="Z195" s="8"/>
      <c r="AA195" s="8"/>
    </row>
    <row r="196" spans="25:27">
      <c r="Y196" s="8"/>
      <c r="Z196" s="8"/>
      <c r="AA196" s="8"/>
    </row>
    <row r="197" spans="25:27">
      <c r="Y197" s="8"/>
      <c r="Z197" s="8"/>
      <c r="AA197" s="8"/>
    </row>
    <row r="198" spans="25:27">
      <c r="Y198" s="8"/>
      <c r="Z198" s="8"/>
      <c r="AA198" s="8"/>
    </row>
    <row r="199" spans="25:27">
      <c r="Y199" s="8"/>
      <c r="Z199" s="8"/>
      <c r="AA199" s="8"/>
    </row>
    <row r="200" spans="25:27">
      <c r="Y200" s="8"/>
      <c r="Z200" s="8"/>
      <c r="AA200" s="8"/>
    </row>
    <row r="201" spans="25:27">
      <c r="Y201" s="8"/>
      <c r="Z201" s="8"/>
      <c r="AA201" s="8"/>
    </row>
    <row r="202" spans="25:27">
      <c r="Y202" s="8"/>
      <c r="Z202" s="8"/>
      <c r="AA202" s="8"/>
    </row>
    <row r="203" spans="25:27">
      <c r="Y203" s="8"/>
      <c r="Z203" s="8"/>
      <c r="AA203" s="8"/>
    </row>
    <row r="204" spans="25:27">
      <c r="Y204" s="8"/>
      <c r="Z204" s="8"/>
      <c r="AA204" s="8"/>
    </row>
    <row r="205" spans="25:27">
      <c r="Y205" s="8"/>
      <c r="Z205" s="8"/>
      <c r="AA205" s="8"/>
    </row>
    <row r="206" spans="25:27">
      <c r="Y206" s="8"/>
      <c r="Z206" s="8"/>
      <c r="AA206" s="8"/>
    </row>
    <row r="207" spans="25:27">
      <c r="Y207" s="8"/>
      <c r="Z207" s="8"/>
      <c r="AA207" s="8"/>
    </row>
    <row r="208" spans="25:27">
      <c r="Y208" s="8"/>
      <c r="Z208" s="8"/>
      <c r="AA208" s="8"/>
    </row>
    <row r="209" spans="25:27">
      <c r="Y209" s="8"/>
      <c r="Z209" s="8"/>
      <c r="AA209" s="8"/>
    </row>
    <row r="210" spans="25:27">
      <c r="Y210" s="8"/>
      <c r="Z210" s="8"/>
      <c r="AA210" s="8"/>
    </row>
    <row r="211" spans="25:27">
      <c r="Y211" s="8"/>
      <c r="Z211" s="8"/>
      <c r="AA211" s="8"/>
    </row>
    <row r="212" spans="25:27">
      <c r="Y212" s="8"/>
      <c r="Z212" s="8"/>
      <c r="AA212" s="8"/>
    </row>
    <row r="213" spans="25:27">
      <c r="Y213" s="8"/>
      <c r="Z213" s="8"/>
      <c r="AA213" s="8"/>
    </row>
    <row r="214" spans="25:27">
      <c r="Y214" s="8"/>
      <c r="Z214" s="8"/>
      <c r="AA214" s="8"/>
    </row>
    <row r="215" spans="25:27">
      <c r="Y215" s="8"/>
      <c r="Z215" s="8"/>
      <c r="AA215" s="8"/>
    </row>
    <row r="216" spans="25:27">
      <c r="Y216" s="8"/>
      <c r="Z216" s="8"/>
      <c r="AA216" s="8"/>
    </row>
    <row r="217" spans="25:27">
      <c r="Y217" s="8"/>
      <c r="Z217" s="8"/>
      <c r="AA217" s="8"/>
    </row>
    <row r="218" spans="25:27">
      <c r="Y218" s="8"/>
      <c r="Z218" s="8"/>
      <c r="AA218" s="8"/>
    </row>
    <row r="219" spans="25:27">
      <c r="Y219" s="8"/>
      <c r="Z219" s="8"/>
      <c r="AA219" s="8"/>
    </row>
    <row r="220" spans="25:27">
      <c r="Y220" s="8"/>
      <c r="Z220" s="8"/>
      <c r="AA220" s="8"/>
    </row>
    <row r="221" spans="25:27">
      <c r="Y221" s="8"/>
      <c r="Z221" s="8"/>
      <c r="AA221" s="8"/>
    </row>
    <row r="222" spans="25:27">
      <c r="Y222" s="8"/>
      <c r="Z222" s="8"/>
      <c r="AA222" s="8"/>
    </row>
    <row r="223" spans="25:27">
      <c r="Y223" s="8"/>
      <c r="Z223" s="8"/>
      <c r="AA223" s="8"/>
    </row>
    <row r="224" spans="25:27">
      <c r="Y224" s="8"/>
      <c r="Z224" s="8"/>
      <c r="AA224" s="8"/>
    </row>
    <row r="225" spans="25:27">
      <c r="Y225" s="8"/>
      <c r="Z225" s="8"/>
      <c r="AA225" s="8"/>
    </row>
    <row r="226" spans="25:27">
      <c r="Y226" s="8"/>
      <c r="Z226" s="8"/>
      <c r="AA226" s="8"/>
    </row>
    <row r="227" spans="25:27">
      <c r="Y227" s="8"/>
      <c r="Z227" s="8"/>
      <c r="AA227" s="8"/>
    </row>
    <row r="228" spans="25:27">
      <c r="Y228" s="8"/>
      <c r="Z228" s="8"/>
      <c r="AA228" s="8"/>
    </row>
    <row r="229" spans="25:27">
      <c r="Y229" s="8"/>
      <c r="Z229" s="8"/>
      <c r="AA229" s="8"/>
    </row>
    <row r="230" spans="25:27">
      <c r="Y230" s="8"/>
      <c r="Z230" s="8"/>
      <c r="AA230" s="8"/>
    </row>
    <row r="231" spans="25:27">
      <c r="Y231" s="8"/>
      <c r="Z231" s="8"/>
      <c r="AA231" s="8"/>
    </row>
    <row r="232" spans="25:27">
      <c r="Y232" s="8"/>
      <c r="Z232" s="8"/>
      <c r="AA232" s="8"/>
    </row>
    <row r="233" spans="25:27">
      <c r="Y233" s="8"/>
      <c r="Z233" s="8"/>
      <c r="AA233" s="8"/>
    </row>
    <row r="234" spans="25:27">
      <c r="Y234" s="8"/>
      <c r="Z234" s="8"/>
      <c r="AA234" s="8"/>
    </row>
    <row r="235" spans="25:27">
      <c r="Y235" s="8"/>
      <c r="Z235" s="8"/>
      <c r="AA235" s="8"/>
    </row>
    <row r="236" spans="25:27">
      <c r="Y236" s="8"/>
      <c r="Z236" s="8"/>
      <c r="AA236" s="8"/>
    </row>
    <row r="237" spans="25:27">
      <c r="Y237" s="8"/>
      <c r="Z237" s="8"/>
      <c r="AA237" s="8"/>
    </row>
    <row r="238" spans="25:27">
      <c r="Y238" s="8"/>
      <c r="Z238" s="8"/>
      <c r="AA238" s="8"/>
    </row>
    <row r="239" spans="25:27">
      <c r="Y239" s="8"/>
      <c r="Z239" s="8"/>
      <c r="AA239" s="8"/>
    </row>
    <row r="240" spans="25:27">
      <c r="Y240" s="8"/>
      <c r="Z240" s="8"/>
      <c r="AA240" s="8"/>
    </row>
    <row r="241" spans="25:27">
      <c r="Y241" s="8"/>
      <c r="Z241" s="8"/>
      <c r="AA241" s="8"/>
    </row>
    <row r="242" spans="25:27">
      <c r="Y242" s="8"/>
      <c r="Z242" s="8"/>
      <c r="AA242" s="8"/>
    </row>
    <row r="243" spans="25:27">
      <c r="Y243" s="8"/>
      <c r="Z243" s="8"/>
      <c r="AA243" s="8"/>
    </row>
    <row r="244" spans="25:27">
      <c r="Y244" s="8"/>
      <c r="Z244" s="8"/>
      <c r="AA244" s="8"/>
    </row>
    <row r="245" spans="25:27">
      <c r="Y245" s="8"/>
      <c r="Z245" s="8"/>
      <c r="AA245" s="8"/>
    </row>
    <row r="246" spans="25:27">
      <c r="Y246" s="8"/>
      <c r="Z246" s="8"/>
      <c r="AA246" s="8"/>
    </row>
    <row r="247" spans="25:27">
      <c r="Y247" s="8"/>
      <c r="Z247" s="8"/>
      <c r="AA247" s="8"/>
    </row>
    <row r="248" spans="25:27">
      <c r="Y248" s="8"/>
      <c r="Z248" s="8"/>
      <c r="AA248" s="8"/>
    </row>
    <row r="249" spans="25:27">
      <c r="Y249" s="8"/>
      <c r="Z249" s="8"/>
      <c r="AA249" s="8"/>
    </row>
    <row r="250" spans="25:27">
      <c r="Y250" s="8"/>
      <c r="Z250" s="8"/>
      <c r="AA250" s="8"/>
    </row>
    <row r="251" spans="25:27">
      <c r="Y251" s="8"/>
      <c r="Z251" s="8"/>
      <c r="AA251" s="8"/>
    </row>
    <row r="252" spans="25:27">
      <c r="Y252" s="8"/>
      <c r="Z252" s="8"/>
      <c r="AA252" s="8"/>
    </row>
    <row r="253" spans="25:27">
      <c r="Y253" s="8"/>
      <c r="Z253" s="8"/>
      <c r="AA253" s="8"/>
    </row>
    <row r="254" spans="25:27">
      <c r="Y254" s="8"/>
      <c r="Z254" s="8"/>
      <c r="AA254" s="8"/>
    </row>
    <row r="255" spans="25:27">
      <c r="Y255" s="8"/>
      <c r="Z255" s="8"/>
      <c r="AA255" s="8"/>
    </row>
    <row r="256" spans="25:27">
      <c r="Y256" s="8"/>
      <c r="Z256" s="8"/>
      <c r="AA256" s="8"/>
    </row>
    <row r="257" spans="25:27">
      <c r="Y257" s="8"/>
      <c r="Z257" s="8"/>
      <c r="AA257" s="8"/>
    </row>
    <row r="258" spans="25:27">
      <c r="Y258" s="8"/>
      <c r="Z258" s="8"/>
      <c r="AA258" s="8"/>
    </row>
    <row r="259" spans="25:27">
      <c r="Y259" s="8"/>
      <c r="Z259" s="8"/>
      <c r="AA259" s="8"/>
    </row>
    <row r="260" spans="25:27">
      <c r="Y260" s="8"/>
      <c r="Z260" s="8"/>
      <c r="AA260" s="8"/>
    </row>
    <row r="261" spans="25:27">
      <c r="Y261" s="8"/>
      <c r="Z261" s="8"/>
      <c r="AA261" s="8"/>
    </row>
    <row r="262" spans="25:27">
      <c r="Y262" s="8"/>
      <c r="Z262" s="8"/>
      <c r="AA262" s="8"/>
    </row>
    <row r="263" spans="25:27">
      <c r="Y263" s="8"/>
      <c r="Z263" s="8"/>
      <c r="AA263" s="8"/>
    </row>
    <row r="264" spans="25:27">
      <c r="Y264" s="8"/>
      <c r="Z264" s="8"/>
      <c r="AA264" s="8"/>
    </row>
    <row r="265" spans="25:27">
      <c r="Y265" s="8"/>
      <c r="Z265" s="8"/>
      <c r="AA265" s="8"/>
    </row>
    <row r="266" spans="25:27">
      <c r="Y266" s="8"/>
      <c r="Z266" s="8"/>
      <c r="AA266" s="8"/>
    </row>
    <row r="267" spans="25:27">
      <c r="Y267" s="8"/>
      <c r="Z267" s="8"/>
      <c r="AA267" s="8"/>
    </row>
    <row r="268" spans="25:27">
      <c r="Y268" s="8"/>
      <c r="Z268" s="8"/>
      <c r="AA268" s="8"/>
    </row>
    <row r="269" spans="25:27">
      <c r="Y269" s="8"/>
      <c r="Z269" s="8"/>
      <c r="AA269" s="8"/>
    </row>
    <row r="270" spans="25:27">
      <c r="Y270" s="8"/>
      <c r="Z270" s="8"/>
      <c r="AA270" s="8"/>
    </row>
    <row r="271" spans="25:27">
      <c r="Y271" s="8"/>
      <c r="Z271" s="8"/>
      <c r="AA271" s="8"/>
    </row>
    <row r="272" spans="25:27">
      <c r="Y272" s="8"/>
      <c r="Z272" s="8"/>
      <c r="AA272" s="8"/>
    </row>
    <row r="273" spans="25:27">
      <c r="Y273" s="8"/>
      <c r="Z273" s="8"/>
      <c r="AA273" s="8"/>
    </row>
    <row r="274" spans="25:27">
      <c r="Y274" s="8"/>
      <c r="Z274" s="8"/>
      <c r="AA274" s="8"/>
    </row>
    <row r="275" spans="25:27">
      <c r="Y275" s="8"/>
      <c r="Z275" s="8"/>
      <c r="AA275" s="8"/>
    </row>
    <row r="276" spans="25:27">
      <c r="Y276" s="8"/>
      <c r="Z276" s="8"/>
      <c r="AA276" s="8"/>
    </row>
    <row r="277" spans="25:27">
      <c r="Y277" s="8"/>
      <c r="Z277" s="8"/>
      <c r="AA277" s="8"/>
    </row>
    <row r="278" spans="25:27">
      <c r="Y278" s="8"/>
      <c r="Z278" s="8"/>
      <c r="AA278" s="8"/>
    </row>
    <row r="279" spans="25:27">
      <c r="Y279" s="8"/>
      <c r="Z279" s="8"/>
      <c r="AA279" s="8"/>
    </row>
    <row r="280" spans="25:27">
      <c r="Y280" s="8"/>
      <c r="Z280" s="8"/>
      <c r="AA280" s="8"/>
    </row>
    <row r="281" spans="25:27">
      <c r="Y281" s="8"/>
      <c r="Z281" s="8"/>
      <c r="AA281" s="8"/>
    </row>
    <row r="282" spans="25:27">
      <c r="Y282" s="8"/>
      <c r="Z282" s="8"/>
      <c r="AA282" s="8"/>
    </row>
    <row r="283" spans="25:27">
      <c r="Y283" s="8"/>
      <c r="Z283" s="8"/>
      <c r="AA283" s="8"/>
    </row>
    <row r="284" spans="25:27">
      <c r="Y284" s="8"/>
      <c r="Z284" s="8"/>
      <c r="AA284" s="8"/>
    </row>
    <row r="285" spans="25:27">
      <c r="Y285" s="8"/>
      <c r="Z285" s="8"/>
      <c r="AA285" s="8"/>
    </row>
    <row r="286" spans="25:27">
      <c r="Y286" s="8"/>
      <c r="Z286" s="8"/>
      <c r="AA286" s="8"/>
    </row>
    <row r="287" spans="25:27">
      <c r="Y287" s="8"/>
      <c r="Z287" s="8"/>
      <c r="AA287" s="8"/>
    </row>
    <row r="288" spans="25:27">
      <c r="Y288" s="8"/>
      <c r="Z288" s="8"/>
      <c r="AA288" s="8"/>
    </row>
    <row r="289" spans="25:27">
      <c r="Y289" s="8"/>
      <c r="Z289" s="8"/>
      <c r="AA289" s="8"/>
    </row>
    <row r="290" spans="25:27">
      <c r="Y290" s="8"/>
      <c r="Z290" s="8"/>
      <c r="AA290" s="8"/>
    </row>
    <row r="291" spans="25:27">
      <c r="Y291" s="8"/>
      <c r="Z291" s="8"/>
      <c r="AA291" s="8"/>
    </row>
    <row r="292" spans="25:27">
      <c r="Y292" s="8"/>
      <c r="Z292" s="8"/>
      <c r="AA292" s="8"/>
    </row>
    <row r="293" spans="25:27">
      <c r="Y293" s="8"/>
      <c r="Z293" s="8"/>
      <c r="AA293" s="8"/>
    </row>
    <row r="294" spans="25:27">
      <c r="Y294" s="8"/>
      <c r="Z294" s="8"/>
      <c r="AA294" s="8"/>
    </row>
    <row r="295" spans="25:27">
      <c r="Y295" s="8"/>
      <c r="Z295" s="8"/>
      <c r="AA295" s="8"/>
    </row>
    <row r="296" spans="25:27">
      <c r="Y296" s="8"/>
      <c r="Z296" s="8"/>
      <c r="AA296" s="8"/>
    </row>
    <row r="297" spans="25:27">
      <c r="Y297" s="8"/>
      <c r="Z297" s="8"/>
      <c r="AA297" s="8"/>
    </row>
    <row r="298" spans="25:27">
      <c r="Y298" s="8"/>
      <c r="Z298" s="8"/>
      <c r="AA298" s="8"/>
    </row>
    <row r="299" spans="25:27">
      <c r="Y299" s="8"/>
      <c r="Z299" s="8"/>
      <c r="AA299" s="8"/>
    </row>
    <row r="300" spans="25:27">
      <c r="Y300" s="8"/>
      <c r="Z300" s="8"/>
      <c r="AA300" s="8"/>
    </row>
    <row r="301" spans="25:27">
      <c r="Y301" s="8"/>
      <c r="Z301" s="8"/>
      <c r="AA301" s="8"/>
    </row>
    <row r="302" spans="25:27">
      <c r="Y302" s="8"/>
      <c r="Z302" s="8"/>
      <c r="AA302" s="8"/>
    </row>
    <row r="303" spans="25:27">
      <c r="Y303" s="8"/>
      <c r="Z303" s="8"/>
      <c r="AA303" s="8"/>
    </row>
    <row r="304" spans="25:27">
      <c r="Y304" s="8"/>
      <c r="Z304" s="8"/>
      <c r="AA304" s="8"/>
    </row>
    <row r="305" spans="25:27">
      <c r="Y305" s="8"/>
      <c r="Z305" s="8"/>
      <c r="AA305" s="8"/>
    </row>
    <row r="306" spans="25:27">
      <c r="Y306" s="8"/>
      <c r="Z306" s="8"/>
      <c r="AA306" s="8"/>
    </row>
    <row r="307" spans="25:27">
      <c r="Y307" s="8"/>
      <c r="Z307" s="8"/>
      <c r="AA307" s="8"/>
    </row>
    <row r="308" spans="25:27">
      <c r="Y308" s="8"/>
      <c r="Z308" s="8"/>
      <c r="AA308" s="8"/>
    </row>
    <row r="309" spans="25:27">
      <c r="Y309" s="8"/>
      <c r="Z309" s="8"/>
      <c r="AA309" s="8"/>
    </row>
    <row r="310" spans="25:27">
      <c r="Y310" s="8"/>
      <c r="Z310" s="8"/>
      <c r="AA310" s="8"/>
    </row>
    <row r="311" spans="25:27">
      <c r="Y311" s="8"/>
      <c r="Z311" s="8"/>
      <c r="AA311" s="8"/>
    </row>
    <row r="312" spans="25:27">
      <c r="Y312" s="8"/>
      <c r="Z312" s="8"/>
      <c r="AA312" s="8"/>
    </row>
    <row r="313" spans="25:27">
      <c r="Y313" s="8"/>
      <c r="Z313" s="8"/>
      <c r="AA313" s="8"/>
    </row>
    <row r="314" spans="25:27">
      <c r="Y314" s="8"/>
      <c r="Z314" s="8"/>
      <c r="AA314" s="8"/>
    </row>
    <row r="315" spans="25:27">
      <c r="Y315" s="8"/>
      <c r="Z315" s="8"/>
      <c r="AA315" s="8"/>
    </row>
    <row r="316" spans="25:27">
      <c r="Y316" s="8"/>
      <c r="Z316" s="8"/>
      <c r="AA316" s="8"/>
    </row>
    <row r="317" spans="25:27">
      <c r="Y317" s="8"/>
      <c r="Z317" s="8"/>
      <c r="AA317" s="8"/>
    </row>
    <row r="318" spans="25:27">
      <c r="Y318" s="8"/>
      <c r="Z318" s="8"/>
      <c r="AA318" s="8"/>
    </row>
    <row r="319" spans="25:27">
      <c r="Y319" s="8"/>
      <c r="Z319" s="8"/>
      <c r="AA319" s="8"/>
    </row>
    <row r="320" spans="25:27">
      <c r="Y320" s="8"/>
      <c r="Z320" s="8"/>
      <c r="AA320" s="8"/>
    </row>
    <row r="321" spans="25:27">
      <c r="Y321" s="8"/>
      <c r="Z321" s="8"/>
      <c r="AA321" s="8"/>
    </row>
    <row r="322" spans="25:27">
      <c r="Y322" s="8"/>
      <c r="Z322" s="8"/>
      <c r="AA322" s="8"/>
    </row>
    <row r="323" spans="25:27">
      <c r="Y323" s="8"/>
      <c r="Z323" s="8"/>
      <c r="AA323" s="8"/>
    </row>
    <row r="324" spans="25:27">
      <c r="Y324" s="8"/>
      <c r="Z324" s="8"/>
      <c r="AA324" s="8"/>
    </row>
    <row r="325" spans="25:27">
      <c r="Y325" s="8"/>
      <c r="Z325" s="8"/>
      <c r="AA325" s="8"/>
    </row>
    <row r="326" spans="25:27">
      <c r="Y326" s="8"/>
      <c r="Z326" s="8"/>
      <c r="AA326" s="8"/>
    </row>
    <row r="327" spans="25:27">
      <c r="Y327" s="8"/>
      <c r="Z327" s="8"/>
      <c r="AA327" s="8"/>
    </row>
    <row r="328" spans="25:27">
      <c r="Y328" s="8"/>
      <c r="Z328" s="8"/>
      <c r="AA328" s="8"/>
    </row>
    <row r="329" spans="25:27">
      <c r="Y329" s="8"/>
      <c r="Z329" s="8"/>
      <c r="AA329" s="8"/>
    </row>
    <row r="330" spans="25:27">
      <c r="Y330" s="8"/>
      <c r="Z330" s="8"/>
      <c r="AA330" s="8"/>
    </row>
    <row r="331" spans="25:27">
      <c r="Y331" s="8"/>
      <c r="Z331" s="8"/>
      <c r="AA331" s="8"/>
    </row>
    <row r="332" spans="25:27">
      <c r="Y332" s="8"/>
      <c r="Z332" s="8"/>
      <c r="AA332" s="8"/>
    </row>
    <row r="333" spans="25:27">
      <c r="Y333" s="8"/>
      <c r="Z333" s="8"/>
      <c r="AA333" s="8"/>
    </row>
    <row r="334" spans="25:27">
      <c r="Y334" s="8"/>
      <c r="Z334" s="8"/>
      <c r="AA334" s="8"/>
    </row>
    <row r="335" spans="25:27">
      <c r="Y335" s="8"/>
      <c r="Z335" s="8"/>
      <c r="AA335" s="8"/>
    </row>
    <row r="336" spans="25:27">
      <c r="Y336" s="8"/>
      <c r="Z336" s="8"/>
      <c r="AA336" s="8"/>
    </row>
    <row r="337" spans="25:27">
      <c r="Y337" s="8"/>
      <c r="Z337" s="8"/>
      <c r="AA337" s="8"/>
    </row>
    <row r="338" spans="25:27">
      <c r="Y338" s="8"/>
      <c r="Z338" s="8"/>
      <c r="AA338" s="8"/>
    </row>
    <row r="339" spans="25:27">
      <c r="Y339" s="8"/>
      <c r="Z339" s="8"/>
      <c r="AA339" s="8"/>
    </row>
    <row r="340" spans="25:27">
      <c r="Y340" s="8"/>
      <c r="Z340" s="8"/>
      <c r="AA340" s="8"/>
    </row>
    <row r="341" spans="25:27">
      <c r="Y341" s="8"/>
      <c r="Z341" s="8"/>
      <c r="AA341" s="8"/>
    </row>
    <row r="342" spans="25:27">
      <c r="Y342" s="8"/>
      <c r="Z342" s="8"/>
      <c r="AA342" s="8"/>
    </row>
    <row r="343" spans="25:27">
      <c r="Y343" s="8"/>
      <c r="Z343" s="8"/>
      <c r="AA343" s="8"/>
    </row>
    <row r="344" spans="25:27">
      <c r="Y344" s="8"/>
      <c r="Z344" s="8"/>
      <c r="AA344" s="8"/>
    </row>
    <row r="345" spans="25:27">
      <c r="Y345" s="8"/>
      <c r="Z345" s="8"/>
      <c r="AA345" s="8"/>
    </row>
    <row r="346" spans="25:27">
      <c r="Y346" s="8"/>
      <c r="Z346" s="8"/>
      <c r="AA346" s="8"/>
    </row>
    <row r="347" spans="25:27">
      <c r="Y347" s="8"/>
      <c r="Z347" s="8"/>
      <c r="AA347" s="8"/>
    </row>
    <row r="348" spans="25:27">
      <c r="Y348" s="8"/>
      <c r="Z348" s="8"/>
      <c r="AA348" s="8"/>
    </row>
    <row r="349" spans="25:27">
      <c r="Y349" s="8"/>
      <c r="Z349" s="8"/>
      <c r="AA349" s="8"/>
    </row>
    <row r="350" spans="25:27">
      <c r="Y350" s="8"/>
      <c r="Z350" s="8"/>
      <c r="AA350" s="8"/>
    </row>
    <row r="351" spans="25:27">
      <c r="Y351" s="8"/>
      <c r="Z351" s="8"/>
      <c r="AA351" s="8"/>
    </row>
    <row r="352" spans="25:27">
      <c r="Y352" s="8"/>
      <c r="Z352" s="8"/>
      <c r="AA352" s="8"/>
    </row>
    <row r="353" spans="25:27">
      <c r="Y353" s="8"/>
      <c r="Z353" s="8"/>
      <c r="AA353" s="8"/>
    </row>
    <row r="354" spans="25:27">
      <c r="Y354" s="8"/>
      <c r="Z354" s="8"/>
      <c r="AA354" s="8"/>
    </row>
    <row r="355" spans="25:27">
      <c r="Y355" s="8"/>
      <c r="Z355" s="8"/>
      <c r="AA355" s="8"/>
    </row>
    <row r="356" spans="25:27">
      <c r="Y356" s="8"/>
      <c r="Z356" s="8"/>
      <c r="AA356" s="8"/>
    </row>
    <row r="357" spans="25:27">
      <c r="Y357" s="8"/>
      <c r="Z357" s="8"/>
      <c r="AA357" s="8"/>
    </row>
    <row r="358" spans="25:27">
      <c r="Y358" s="8"/>
      <c r="Z358" s="8"/>
      <c r="AA358" s="8"/>
    </row>
    <row r="359" spans="25:27">
      <c r="Y359" s="8"/>
      <c r="Z359" s="8"/>
      <c r="AA359" s="8"/>
    </row>
    <row r="360" spans="25:27">
      <c r="Y360" s="8"/>
      <c r="Z360" s="8"/>
      <c r="AA360" s="8"/>
    </row>
    <row r="361" spans="25:27">
      <c r="Y361" s="8"/>
      <c r="Z361" s="8"/>
      <c r="AA361" s="8"/>
    </row>
    <row r="362" spans="25:27">
      <c r="Y362" s="8"/>
      <c r="Z362" s="8"/>
      <c r="AA362" s="8"/>
    </row>
    <row r="363" spans="25:27">
      <c r="Y363" s="8"/>
      <c r="Z363" s="8"/>
      <c r="AA363" s="8"/>
    </row>
    <row r="364" spans="25:27">
      <c r="Y364" s="8"/>
      <c r="Z364" s="8"/>
      <c r="AA364" s="8"/>
    </row>
    <row r="365" spans="25:27">
      <c r="Y365" s="8"/>
      <c r="Z365" s="8"/>
      <c r="AA365" s="8"/>
    </row>
    <row r="366" spans="25:27">
      <c r="Y366" s="8"/>
      <c r="Z366" s="8"/>
      <c r="AA366" s="8"/>
    </row>
    <row r="367" spans="25:27">
      <c r="Y367" s="8"/>
      <c r="Z367" s="8"/>
      <c r="AA367" s="8"/>
    </row>
    <row r="368" spans="25:27">
      <c r="Y368" s="8"/>
      <c r="Z368" s="8"/>
      <c r="AA368" s="8"/>
    </row>
    <row r="369" spans="25:27">
      <c r="Y369" s="8"/>
      <c r="Z369" s="8"/>
      <c r="AA369" s="8"/>
    </row>
    <row r="370" spans="25:27">
      <c r="Y370" s="8"/>
      <c r="Z370" s="8"/>
      <c r="AA370" s="8"/>
    </row>
    <row r="371" spans="25:27">
      <c r="Y371" s="8"/>
      <c r="Z371" s="8"/>
      <c r="AA371" s="8"/>
    </row>
    <row r="372" spans="25:27">
      <c r="Y372" s="8"/>
      <c r="Z372" s="8"/>
      <c r="AA372" s="8"/>
    </row>
    <row r="373" spans="25:27">
      <c r="Y373" s="8"/>
      <c r="Z373" s="8"/>
      <c r="AA373" s="8"/>
    </row>
    <row r="374" spans="25:27">
      <c r="Y374" s="8"/>
      <c r="Z374" s="8"/>
      <c r="AA374" s="8"/>
    </row>
    <row r="375" spans="25:27">
      <c r="Y375" s="8"/>
      <c r="Z375" s="8"/>
      <c r="AA375" s="8"/>
    </row>
    <row r="376" spans="25:27">
      <c r="Y376" s="8"/>
      <c r="Z376" s="8"/>
      <c r="AA376" s="8"/>
    </row>
    <row r="377" spans="25:27">
      <c r="Y377" s="8"/>
      <c r="Z377" s="8"/>
      <c r="AA377" s="8"/>
    </row>
    <row r="378" spans="25:27">
      <c r="Y378" s="8"/>
      <c r="Z378" s="8"/>
      <c r="AA378" s="8"/>
    </row>
    <row r="379" spans="25:27">
      <c r="Y379" s="8"/>
      <c r="Z379" s="8"/>
      <c r="AA379" s="8"/>
    </row>
    <row r="380" spans="25:27">
      <c r="Y380" s="8"/>
      <c r="Z380" s="8"/>
      <c r="AA380" s="8"/>
    </row>
    <row r="381" spans="25:27">
      <c r="Y381" s="8"/>
      <c r="Z381" s="8"/>
      <c r="AA381" s="8"/>
    </row>
    <row r="382" spans="25:27">
      <c r="Y382" s="8"/>
      <c r="Z382" s="8"/>
      <c r="AA382" s="8"/>
    </row>
    <row r="383" spans="25:27">
      <c r="Y383" s="8"/>
      <c r="Z383" s="8"/>
      <c r="AA383" s="8"/>
    </row>
    <row r="384" spans="25:27">
      <c r="Y384" s="8"/>
      <c r="Z384" s="8"/>
      <c r="AA384" s="8"/>
    </row>
    <row r="385" spans="25:27">
      <c r="Y385" s="8"/>
      <c r="Z385" s="8"/>
      <c r="AA385" s="8"/>
    </row>
    <row r="386" spans="25:27">
      <c r="Y386" s="8"/>
      <c r="Z386" s="8"/>
      <c r="AA386" s="8"/>
    </row>
    <row r="387" spans="25:27">
      <c r="Y387" s="8"/>
      <c r="Z387" s="8"/>
      <c r="AA387" s="8"/>
    </row>
    <row r="388" spans="25:27">
      <c r="Y388" s="8"/>
      <c r="Z388" s="8"/>
      <c r="AA388" s="8"/>
    </row>
    <row r="389" spans="25:27">
      <c r="Y389" s="8"/>
      <c r="Z389" s="8"/>
      <c r="AA389" s="8"/>
    </row>
    <row r="390" spans="25:27">
      <c r="Y390" s="8"/>
      <c r="Z390" s="8"/>
      <c r="AA390" s="8"/>
    </row>
    <row r="391" spans="25:27">
      <c r="Y391" s="8"/>
      <c r="Z391" s="8"/>
      <c r="AA391" s="8"/>
    </row>
    <row r="392" spans="25:27">
      <c r="Y392" s="8"/>
      <c r="Z392" s="8"/>
      <c r="AA392" s="8"/>
    </row>
    <row r="393" spans="25:27">
      <c r="Y393" s="8"/>
      <c r="Z393" s="8"/>
      <c r="AA393" s="8"/>
    </row>
    <row r="394" spans="25:27">
      <c r="Y394" s="8"/>
      <c r="Z394" s="8"/>
      <c r="AA394" s="8"/>
    </row>
    <row r="395" spans="25:27">
      <c r="Y395" s="8"/>
      <c r="Z395" s="8"/>
      <c r="AA395" s="8"/>
    </row>
    <row r="396" spans="25:27">
      <c r="Y396" s="8"/>
      <c r="Z396" s="8"/>
      <c r="AA396" s="8"/>
    </row>
    <row r="397" spans="25:27">
      <c r="Y397" s="8"/>
      <c r="Z397" s="8"/>
      <c r="AA397" s="8"/>
    </row>
    <row r="398" spans="25:27">
      <c r="Y398" s="8"/>
      <c r="Z398" s="8"/>
      <c r="AA398" s="8"/>
    </row>
    <row r="399" spans="25:27">
      <c r="Y399" s="8"/>
      <c r="Z399" s="8"/>
      <c r="AA399" s="8"/>
    </row>
    <row r="400" spans="25:27">
      <c r="Y400" s="8"/>
      <c r="Z400" s="8"/>
      <c r="AA400" s="8"/>
    </row>
    <row r="401" spans="25:27">
      <c r="Y401" s="8"/>
      <c r="Z401" s="8"/>
      <c r="AA401" s="8"/>
    </row>
    <row r="402" spans="25:27">
      <c r="Y402" s="8"/>
      <c r="Z402" s="8"/>
      <c r="AA402" s="8"/>
    </row>
    <row r="403" spans="25:27">
      <c r="Y403" s="8"/>
      <c r="Z403" s="8"/>
      <c r="AA403" s="8"/>
    </row>
    <row r="404" spans="25:27">
      <c r="Y404" s="8"/>
      <c r="Z404" s="8"/>
      <c r="AA404" s="8"/>
    </row>
    <row r="405" spans="25:27">
      <c r="Y405" s="8"/>
      <c r="Z405" s="8"/>
      <c r="AA405" s="8"/>
    </row>
    <row r="406" spans="25:27">
      <c r="Y406" s="8"/>
      <c r="Z406" s="8"/>
      <c r="AA406" s="8"/>
    </row>
    <row r="407" spans="25:27">
      <c r="Y407" s="8"/>
      <c r="Z407" s="8"/>
      <c r="AA407" s="8"/>
    </row>
    <row r="408" spans="25:27">
      <c r="Y408" s="8"/>
      <c r="Z408" s="8"/>
      <c r="AA408" s="8"/>
    </row>
    <row r="409" spans="25:27">
      <c r="Y409" s="8"/>
      <c r="Z409" s="8"/>
      <c r="AA409" s="8"/>
    </row>
    <row r="410" spans="25:27">
      <c r="Y410" s="8"/>
      <c r="Z410" s="8"/>
      <c r="AA410" s="8"/>
    </row>
    <row r="411" spans="25:27">
      <c r="Y411" s="8"/>
      <c r="Z411" s="8"/>
      <c r="AA411" s="8"/>
    </row>
    <row r="412" spans="25:27">
      <c r="Y412" s="8"/>
      <c r="Z412" s="8"/>
      <c r="AA412" s="8"/>
    </row>
    <row r="413" spans="25:27">
      <c r="Y413" s="8"/>
      <c r="Z413" s="8"/>
      <c r="AA413" s="8"/>
    </row>
    <row r="414" spans="25:27">
      <c r="Y414" s="8"/>
      <c r="Z414" s="8"/>
      <c r="AA414" s="8"/>
    </row>
    <row r="415" spans="25:27">
      <c r="Y415" s="8"/>
      <c r="Z415" s="8"/>
      <c r="AA415" s="8"/>
    </row>
    <row r="416" spans="25:27">
      <c r="Y416" s="8"/>
      <c r="Z416" s="8"/>
      <c r="AA416" s="8"/>
    </row>
    <row r="417" spans="25:27">
      <c r="Y417" s="8"/>
      <c r="Z417" s="8"/>
      <c r="AA417" s="8"/>
    </row>
    <row r="418" spans="25:27">
      <c r="Y418" s="8"/>
      <c r="Z418" s="8"/>
      <c r="AA418" s="8"/>
    </row>
    <row r="419" spans="25:27">
      <c r="Y419" s="8"/>
      <c r="Z419" s="8"/>
      <c r="AA419" s="8"/>
    </row>
    <row r="420" spans="25:27">
      <c r="Y420" s="8"/>
      <c r="Z420" s="8"/>
      <c r="AA420" s="8"/>
    </row>
    <row r="421" spans="25:27">
      <c r="Y421" s="8"/>
      <c r="Z421" s="8"/>
      <c r="AA421" s="8"/>
    </row>
    <row r="422" spans="25:27">
      <c r="Y422" s="8"/>
      <c r="Z422" s="8"/>
      <c r="AA422" s="8"/>
    </row>
    <row r="423" spans="25:27">
      <c r="Y423" s="8"/>
      <c r="Z423" s="8"/>
      <c r="AA423" s="8"/>
    </row>
    <row r="424" spans="25:27">
      <c r="Y424" s="8"/>
      <c r="Z424" s="8"/>
      <c r="AA424" s="8"/>
    </row>
    <row r="425" spans="25:27">
      <c r="Y425" s="8"/>
      <c r="Z425" s="8"/>
      <c r="AA425" s="8"/>
    </row>
    <row r="426" spans="25:27">
      <c r="Y426" s="8"/>
      <c r="Z426" s="8"/>
      <c r="AA426" s="8"/>
    </row>
    <row r="427" spans="25:27">
      <c r="Y427" s="8"/>
      <c r="Z427" s="8"/>
      <c r="AA427" s="8"/>
    </row>
    <row r="428" spans="25:27">
      <c r="Y428" s="8"/>
      <c r="Z428" s="8"/>
      <c r="AA428" s="8"/>
    </row>
    <row r="429" spans="25:27">
      <c r="Y429" s="8"/>
      <c r="Z429" s="8"/>
      <c r="AA429" s="8"/>
    </row>
    <row r="430" spans="25:27">
      <c r="Y430" s="8"/>
      <c r="Z430" s="8"/>
      <c r="AA430" s="8"/>
    </row>
    <row r="431" spans="25:27">
      <c r="Y431" s="8"/>
      <c r="Z431" s="8"/>
      <c r="AA431" s="8"/>
    </row>
    <row r="432" spans="25:27">
      <c r="Y432" s="8"/>
      <c r="Z432" s="8"/>
      <c r="AA432" s="8"/>
    </row>
    <row r="433" spans="25:27">
      <c r="Y433" s="8"/>
      <c r="Z433" s="8"/>
      <c r="AA433" s="8"/>
    </row>
    <row r="434" spans="25:27">
      <c r="Y434" s="8"/>
      <c r="Z434" s="8"/>
      <c r="AA434" s="8"/>
    </row>
    <row r="435" spans="25:27">
      <c r="Y435" s="8"/>
      <c r="Z435" s="8"/>
      <c r="AA435" s="8"/>
    </row>
    <row r="436" spans="25:27">
      <c r="Y436" s="8"/>
      <c r="Z436" s="8"/>
      <c r="AA436" s="8"/>
    </row>
    <row r="437" spans="25:27">
      <c r="Y437" s="8"/>
      <c r="Z437" s="8"/>
      <c r="AA437" s="8"/>
    </row>
    <row r="438" spans="25:27">
      <c r="Y438" s="8"/>
      <c r="Z438" s="8"/>
      <c r="AA438" s="8"/>
    </row>
    <row r="439" spans="25:27">
      <c r="Y439" s="8"/>
      <c r="Z439" s="8"/>
      <c r="AA439" s="8"/>
    </row>
    <row r="440" spans="25:27">
      <c r="Y440" s="8"/>
      <c r="Z440" s="8"/>
      <c r="AA440" s="8"/>
    </row>
    <row r="441" spans="25:27">
      <c r="Y441" s="8"/>
      <c r="Z441" s="8"/>
      <c r="AA441" s="8"/>
    </row>
    <row r="442" spans="25:27">
      <c r="Y442" s="8"/>
      <c r="Z442" s="8"/>
      <c r="AA442" s="8"/>
    </row>
    <row r="443" spans="25:27">
      <c r="Y443" s="8"/>
      <c r="Z443" s="8"/>
      <c r="AA443" s="8"/>
    </row>
    <row r="444" spans="25:27">
      <c r="Y444" s="8"/>
      <c r="Z444" s="8"/>
      <c r="AA444" s="8"/>
    </row>
    <row r="445" spans="25:27">
      <c r="Y445" s="8"/>
      <c r="Z445" s="8"/>
      <c r="AA445" s="8"/>
    </row>
    <row r="446" spans="25:27">
      <c r="Y446" s="8"/>
      <c r="Z446" s="8"/>
      <c r="AA446" s="8"/>
    </row>
    <row r="447" spans="25:27">
      <c r="Y447" s="8"/>
      <c r="Z447" s="8"/>
      <c r="AA447" s="8"/>
    </row>
    <row r="448" spans="25:27">
      <c r="Y448" s="8"/>
      <c r="Z448" s="8"/>
      <c r="AA448" s="8"/>
    </row>
    <row r="449" spans="25:27">
      <c r="Y449" s="8"/>
      <c r="Z449" s="8"/>
      <c r="AA449" s="8"/>
    </row>
    <row r="450" spans="25:27">
      <c r="Y450" s="8"/>
      <c r="Z450" s="8"/>
      <c r="AA450" s="8"/>
    </row>
    <row r="451" spans="25:27">
      <c r="Y451" s="8"/>
      <c r="Z451" s="8"/>
      <c r="AA451" s="8"/>
    </row>
    <row r="452" spans="25:27">
      <c r="Y452" s="8"/>
      <c r="Z452" s="8"/>
      <c r="AA452" s="8"/>
    </row>
    <row r="453" spans="25:27">
      <c r="Y453" s="8"/>
      <c r="Z453" s="8"/>
      <c r="AA453" s="8"/>
    </row>
    <row r="454" spans="25:27">
      <c r="Y454" s="8"/>
      <c r="Z454" s="8"/>
      <c r="AA454" s="8"/>
    </row>
    <row r="455" spans="25:27">
      <c r="Y455" s="8"/>
      <c r="Z455" s="8"/>
      <c r="AA455" s="8"/>
    </row>
    <row r="456" spans="25:27">
      <c r="Y456" s="8"/>
      <c r="Z456" s="8"/>
      <c r="AA456" s="8"/>
    </row>
    <row r="457" spans="25:27">
      <c r="Y457" s="8"/>
      <c r="Z457" s="8"/>
      <c r="AA457" s="8"/>
    </row>
    <row r="458" spans="25:27">
      <c r="Y458" s="8"/>
      <c r="Z458" s="8"/>
      <c r="AA458" s="8"/>
    </row>
    <row r="459" spans="25:27">
      <c r="Y459" s="8"/>
      <c r="Z459" s="8"/>
      <c r="AA459" s="8"/>
    </row>
    <row r="460" spans="25:27">
      <c r="Y460" s="8"/>
      <c r="Z460" s="8"/>
      <c r="AA460" s="8"/>
    </row>
    <row r="461" spans="25:27">
      <c r="Y461" s="8"/>
      <c r="Z461" s="8"/>
      <c r="AA461" s="8"/>
    </row>
    <row r="462" spans="25:27">
      <c r="Y462" s="8"/>
      <c r="Z462" s="8"/>
      <c r="AA462" s="8"/>
    </row>
    <row r="463" spans="25:27">
      <c r="Y463" s="8"/>
      <c r="Z463" s="8"/>
      <c r="AA463" s="8"/>
    </row>
    <row r="464" spans="25:27">
      <c r="Y464" s="8"/>
      <c r="Z464" s="8"/>
      <c r="AA464" s="8"/>
    </row>
    <row r="465" spans="25:27">
      <c r="Y465" s="8"/>
      <c r="Z465" s="8"/>
      <c r="AA465" s="8"/>
    </row>
    <row r="466" spans="25:27">
      <c r="Y466" s="8"/>
      <c r="Z466" s="8"/>
      <c r="AA466" s="8"/>
    </row>
    <row r="467" spans="25:27">
      <c r="Y467" s="8"/>
      <c r="Z467" s="8"/>
      <c r="AA467" s="8"/>
    </row>
    <row r="468" spans="25:27">
      <c r="Y468" s="8"/>
      <c r="Z468" s="8"/>
      <c r="AA468" s="8"/>
    </row>
    <row r="469" spans="25:27">
      <c r="Y469" s="8"/>
      <c r="Z469" s="8"/>
      <c r="AA469" s="8"/>
    </row>
    <row r="470" spans="25:27">
      <c r="Y470" s="8"/>
      <c r="Z470" s="8"/>
      <c r="AA470" s="8"/>
    </row>
    <row r="471" spans="25:27">
      <c r="Y471" s="8"/>
      <c r="Z471" s="8"/>
      <c r="AA471" s="8"/>
    </row>
    <row r="472" spans="25:27">
      <c r="Y472" s="8"/>
      <c r="Z472" s="8"/>
      <c r="AA472" s="8"/>
    </row>
    <row r="473" spans="25:27">
      <c r="Y473" s="8"/>
      <c r="Z473" s="8"/>
      <c r="AA473" s="8"/>
    </row>
    <row r="474" spans="25:27">
      <c r="Y474" s="8"/>
      <c r="Z474" s="8"/>
      <c r="AA474" s="8"/>
    </row>
    <row r="475" spans="25:27">
      <c r="Y475" s="8"/>
      <c r="Z475" s="8"/>
      <c r="AA475" s="8"/>
    </row>
    <row r="476" spans="25:27">
      <c r="Y476" s="8"/>
      <c r="Z476" s="8"/>
      <c r="AA476" s="8"/>
    </row>
    <row r="477" spans="25:27">
      <c r="Y477" s="8"/>
      <c r="Z477" s="8"/>
      <c r="AA477" s="8"/>
    </row>
    <row r="478" spans="25:27">
      <c r="Y478" s="8"/>
      <c r="Z478" s="8"/>
      <c r="AA478" s="8"/>
    </row>
    <row r="479" spans="25:27">
      <c r="Z479" s="8"/>
      <c r="AA479" s="8"/>
    </row>
    <row r="480" spans="25:27">
      <c r="Z480" s="8"/>
      <c r="AA480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Y50"/>
  <sheetViews>
    <sheetView workbookViewId="0">
      <selection activeCell="A11" sqref="A11"/>
    </sheetView>
  </sheetViews>
  <sheetFormatPr defaultColWidth="9.85546875" defaultRowHeight="15"/>
  <cols>
    <col min="1" max="1" width="11.85546875" customWidth="1"/>
    <col min="2" max="2" width="10.85546875" customWidth="1"/>
    <col min="3" max="3" width="45.85546875" customWidth="1"/>
    <col min="4" max="4" width="6.85546875" customWidth="1"/>
    <col min="5" max="5" width="10.85546875" customWidth="1"/>
    <col min="6" max="6" width="12.85546875" customWidth="1"/>
    <col min="7" max="7" width="15.85546875" customWidth="1"/>
    <col min="8" max="8" width="10.85546875" customWidth="1"/>
    <col min="9" max="9" width="12.85546875" customWidth="1"/>
    <col min="10" max="11" width="15.85546875" customWidth="1"/>
    <col min="12" max="14" width="9.85546875" customWidth="1"/>
    <col min="15" max="15" width="8.85546875" customWidth="1"/>
    <col min="16" max="16" width="10.85546875" customWidth="1"/>
  </cols>
  <sheetData>
    <row r="1" spans="1:25" ht="15.75" thickBot="1">
      <c r="A1" s="15"/>
      <c r="B1" s="15"/>
      <c r="C1" s="16" t="s">
        <v>17</v>
      </c>
      <c r="D1" s="15"/>
      <c r="E1" s="15"/>
      <c r="F1" s="17"/>
      <c r="G1" s="18"/>
      <c r="H1" s="19"/>
      <c r="I1" s="17"/>
      <c r="J1" s="17"/>
      <c r="K1" s="20"/>
      <c r="L1" s="21"/>
      <c r="M1" s="22">
        <v>38</v>
      </c>
      <c r="N1" s="23"/>
      <c r="O1" s="6" t="s">
        <v>3</v>
      </c>
      <c r="P1" s="7" t="s">
        <v>4</v>
      </c>
      <c r="Q1" s="6" t="s">
        <v>5</v>
      </c>
      <c r="R1" s="24" t="s">
        <v>1</v>
      </c>
      <c r="S1" s="6" t="s">
        <v>6</v>
      </c>
      <c r="T1" s="6" t="s">
        <v>7</v>
      </c>
      <c r="U1" s="6" t="s">
        <v>8</v>
      </c>
      <c r="V1" s="6" t="s">
        <v>9</v>
      </c>
      <c r="W1" s="6" t="s">
        <v>10</v>
      </c>
      <c r="X1" s="6" t="s">
        <v>11</v>
      </c>
      <c r="Y1" s="6" t="s">
        <v>12</v>
      </c>
    </row>
    <row r="2" spans="1:25" ht="15.75" thickBot="1">
      <c r="A2" s="15"/>
      <c r="B2" s="15"/>
      <c r="C2" s="77"/>
      <c r="D2" s="78"/>
      <c r="E2" s="78"/>
      <c r="F2" s="79"/>
      <c r="G2" s="15"/>
      <c r="H2" s="15"/>
      <c r="I2" s="17"/>
      <c r="J2" s="17"/>
      <c r="K2" s="20"/>
      <c r="L2" s="25"/>
      <c r="M2" s="26"/>
      <c r="N2" s="27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>
      <c r="A3" s="15"/>
      <c r="B3" s="15"/>
      <c r="C3" s="15"/>
      <c r="D3" s="15"/>
      <c r="E3" s="15"/>
      <c r="F3" s="15"/>
      <c r="G3" s="15"/>
      <c r="H3" s="15"/>
      <c r="I3" s="17"/>
      <c r="J3" s="17"/>
      <c r="K3" s="15"/>
      <c r="L3" s="21"/>
      <c r="M3" s="25"/>
      <c r="N3" s="27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5" ht="15.75" thickBot="1">
      <c r="A4" s="15"/>
      <c r="B4" s="16" t="s">
        <v>21</v>
      </c>
      <c r="C4" s="15"/>
      <c r="D4" s="15"/>
      <c r="E4" s="15"/>
      <c r="F4" s="15"/>
      <c r="G4" s="15"/>
      <c r="H4" s="15"/>
      <c r="I4" s="15"/>
      <c r="J4" s="15"/>
      <c r="K4" s="15"/>
      <c r="L4" s="25"/>
      <c r="M4" s="25"/>
      <c r="N4" s="27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1:25" ht="15.75" thickBot="1">
      <c r="A5" s="16" t="s">
        <v>22</v>
      </c>
      <c r="B5" s="80">
        <f ca="1">NOW()</f>
        <v>42405.034320601852</v>
      </c>
      <c r="C5" s="29" t="s">
        <v>23</v>
      </c>
      <c r="D5" s="15"/>
      <c r="E5" s="81"/>
      <c r="F5" s="15"/>
      <c r="G5" s="15"/>
      <c r="H5" s="15"/>
      <c r="I5" s="15"/>
      <c r="J5" s="15"/>
      <c r="K5" s="15"/>
      <c r="L5" s="27"/>
      <c r="M5" s="25"/>
      <c r="N5" s="27"/>
      <c r="O5" s="26"/>
      <c r="P5" s="4"/>
      <c r="Q5" s="4"/>
      <c r="R5" s="4"/>
      <c r="S5" s="4"/>
      <c r="T5" s="4"/>
      <c r="U5" s="4"/>
      <c r="V5" s="4"/>
      <c r="W5" s="4"/>
      <c r="X5" s="4"/>
      <c r="Y5" s="4"/>
    </row>
    <row r="6" spans="1:25" ht="15.75" thickBot="1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27"/>
      <c r="M6" s="23"/>
      <c r="N6" s="27"/>
      <c r="O6" s="4"/>
      <c r="P6" s="4"/>
      <c r="Q6" s="4"/>
      <c r="R6" s="4"/>
      <c r="S6" s="4"/>
      <c r="T6" s="4"/>
      <c r="U6" s="4"/>
      <c r="V6" s="4"/>
      <c r="W6" s="4"/>
      <c r="X6" s="4"/>
      <c r="Y6" s="4"/>
    </row>
    <row r="7" spans="1:25">
      <c r="A7" s="97" t="s">
        <v>26</v>
      </c>
      <c r="B7" s="99" t="s">
        <v>27</v>
      </c>
      <c r="C7" s="101" t="s">
        <v>28</v>
      </c>
      <c r="D7" s="99" t="s">
        <v>29</v>
      </c>
      <c r="E7" s="101" t="s">
        <v>30</v>
      </c>
      <c r="F7" s="95" t="s">
        <v>24</v>
      </c>
      <c r="G7" s="96"/>
      <c r="H7" s="93" t="s">
        <v>64</v>
      </c>
      <c r="I7" s="95" t="s">
        <v>25</v>
      </c>
      <c r="J7" s="96"/>
      <c r="K7" s="93" t="s">
        <v>65</v>
      </c>
      <c r="L7" s="27"/>
      <c r="M7" s="27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8" spans="1:25" ht="27" thickBot="1">
      <c r="A8" s="98"/>
      <c r="B8" s="100"/>
      <c r="C8" s="102"/>
      <c r="D8" s="100"/>
      <c r="E8" s="102"/>
      <c r="F8" s="33" t="s">
        <v>31</v>
      </c>
      <c r="G8" s="31" t="s">
        <v>32</v>
      </c>
      <c r="H8" s="94"/>
      <c r="I8" s="32" t="s">
        <v>33</v>
      </c>
      <c r="J8" s="33" t="s">
        <v>34</v>
      </c>
      <c r="K8" s="94"/>
      <c r="L8" s="27"/>
      <c r="M8" s="23"/>
      <c r="N8" s="27"/>
      <c r="O8" s="4"/>
      <c r="P8" s="4"/>
      <c r="Q8" s="4"/>
      <c r="R8" s="4"/>
      <c r="S8" s="4"/>
      <c r="T8" s="4"/>
      <c r="U8" s="4"/>
      <c r="V8" s="4"/>
      <c r="W8" s="4"/>
      <c r="X8" s="4"/>
      <c r="Y8" s="4"/>
    </row>
    <row r="9" spans="1:25" ht="15.75" thickBo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23"/>
      <c r="M9" s="27"/>
      <c r="N9" s="3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spans="1:25" ht="15.75" thickBot="1">
      <c r="A10" s="35" t="s">
        <v>35</v>
      </c>
      <c r="B10" s="35" t="s">
        <v>36</v>
      </c>
      <c r="C10" s="35" t="s">
        <v>37</v>
      </c>
      <c r="D10" s="35" t="s">
        <v>38</v>
      </c>
      <c r="E10" s="35" t="s">
        <v>39</v>
      </c>
      <c r="F10" s="35" t="s">
        <v>40</v>
      </c>
      <c r="G10" s="35" t="s">
        <v>41</v>
      </c>
      <c r="H10" s="35" t="s">
        <v>42</v>
      </c>
      <c r="I10" s="35" t="s">
        <v>43</v>
      </c>
      <c r="J10" s="35" t="s">
        <v>44</v>
      </c>
      <c r="K10" s="35" t="s">
        <v>45</v>
      </c>
      <c r="L10" s="34"/>
      <c r="M10" s="4"/>
      <c r="N10" s="4"/>
      <c r="O10" s="34">
        <f t="shared" ref="O10:O38" si="0">$E$5</f>
        <v>0</v>
      </c>
      <c r="P10" s="36">
        <f t="shared" ref="P10:P38" ca="1" si="1">$B$5</f>
        <v>42405.034320601852</v>
      </c>
      <c r="Q10" s="37" t="s">
        <v>46</v>
      </c>
      <c r="R10" s="38" t="s">
        <v>1</v>
      </c>
      <c r="S10" s="34">
        <v>-1</v>
      </c>
      <c r="T10" s="4">
        <v>0</v>
      </c>
      <c r="U10" s="34">
        <v>0</v>
      </c>
      <c r="V10" s="39">
        <v>0</v>
      </c>
      <c r="W10" s="39">
        <v>0</v>
      </c>
      <c r="X10" s="39">
        <v>0</v>
      </c>
      <c r="Y10" s="39">
        <v>0</v>
      </c>
    </row>
    <row r="11" spans="1:25">
      <c r="A11" s="40"/>
      <c r="B11" s="82"/>
      <c r="C11" s="40"/>
      <c r="D11" s="40"/>
      <c r="E11" s="30"/>
      <c r="F11" s="41"/>
      <c r="G11" s="41">
        <f t="shared" ref="G11:G38" si="2">E11*F11</f>
        <v>0</v>
      </c>
      <c r="H11" s="84">
        <f t="shared" ref="H11:H38" si="3">IF(F11&gt;0,I11/F11,0)</f>
        <v>0</v>
      </c>
      <c r="I11" s="85">
        <f t="shared" ref="I11:I38" si="4">F11*H11</f>
        <v>0</v>
      </c>
      <c r="J11" s="41">
        <f t="shared" ref="J11:J38" si="5">E11*I11</f>
        <v>0</v>
      </c>
      <c r="K11" s="41">
        <f t="shared" ref="K11:K38" si="6">J11-G11</f>
        <v>0</v>
      </c>
      <c r="L11" s="26"/>
      <c r="M11" s="4"/>
      <c r="N11" s="34"/>
      <c r="O11" s="34">
        <f t="shared" si="0"/>
        <v>0</v>
      </c>
      <c r="P11" s="36">
        <f t="shared" ca="1" si="1"/>
        <v>42405.034320601852</v>
      </c>
      <c r="Q11" s="37" t="s">
        <v>46</v>
      </c>
      <c r="R11" s="38" t="s">
        <v>1</v>
      </c>
      <c r="S11" s="34">
        <v>1</v>
      </c>
      <c r="T11" s="4">
        <v>0</v>
      </c>
      <c r="U11" s="34">
        <v>0</v>
      </c>
      <c r="V11" s="39">
        <f t="shared" ref="V11:V38" si="7">K11</f>
        <v>0</v>
      </c>
      <c r="W11" s="39">
        <v>0</v>
      </c>
      <c r="X11" s="39">
        <v>0</v>
      </c>
      <c r="Y11" s="39">
        <v>0</v>
      </c>
    </row>
    <row r="12" spans="1:25">
      <c r="A12" s="42"/>
      <c r="B12" s="83"/>
      <c r="C12" s="42"/>
      <c r="D12" s="42"/>
      <c r="E12" s="43"/>
      <c r="F12" s="44"/>
      <c r="G12" s="44">
        <f t="shared" si="2"/>
        <v>0</v>
      </c>
      <c r="H12" s="86">
        <f t="shared" si="3"/>
        <v>0</v>
      </c>
      <c r="I12" s="87">
        <f t="shared" si="4"/>
        <v>0</v>
      </c>
      <c r="J12" s="44">
        <f t="shared" si="5"/>
        <v>0</v>
      </c>
      <c r="K12" s="44">
        <f t="shared" si="6"/>
        <v>0</v>
      </c>
      <c r="L12" s="4"/>
      <c r="M12" s="4"/>
      <c r="N12" s="4"/>
      <c r="O12" s="34">
        <f t="shared" si="0"/>
        <v>0</v>
      </c>
      <c r="P12" s="36">
        <f t="shared" ca="1" si="1"/>
        <v>42405.034320601852</v>
      </c>
      <c r="Q12" s="37" t="s">
        <v>46</v>
      </c>
      <c r="R12" s="38" t="s">
        <v>1</v>
      </c>
      <c r="S12" s="34">
        <v>1</v>
      </c>
      <c r="T12" s="4">
        <v>0</v>
      </c>
      <c r="U12" s="34">
        <v>0</v>
      </c>
      <c r="V12" s="39">
        <f t="shared" si="7"/>
        <v>0</v>
      </c>
      <c r="W12" s="39">
        <v>0</v>
      </c>
      <c r="X12" s="39">
        <v>0</v>
      </c>
      <c r="Y12" s="39">
        <v>0</v>
      </c>
    </row>
    <row r="13" spans="1:25">
      <c r="A13" s="42"/>
      <c r="B13" s="83"/>
      <c r="C13" s="42"/>
      <c r="D13" s="42"/>
      <c r="E13" s="43"/>
      <c r="F13" s="44"/>
      <c r="G13" s="44">
        <f t="shared" si="2"/>
        <v>0</v>
      </c>
      <c r="H13" s="86">
        <f t="shared" si="3"/>
        <v>0</v>
      </c>
      <c r="I13" s="87">
        <f t="shared" si="4"/>
        <v>0</v>
      </c>
      <c r="J13" s="44">
        <f t="shared" si="5"/>
        <v>0</v>
      </c>
      <c r="K13" s="44">
        <f t="shared" si="6"/>
        <v>0</v>
      </c>
      <c r="L13" s="4"/>
      <c r="M13" s="4"/>
      <c r="N13" s="4"/>
      <c r="O13" s="34">
        <f t="shared" si="0"/>
        <v>0</v>
      </c>
      <c r="P13" s="36">
        <f t="shared" ca="1" si="1"/>
        <v>42405.034320601852</v>
      </c>
      <c r="Q13" s="37" t="s">
        <v>46</v>
      </c>
      <c r="R13" s="38" t="s">
        <v>1</v>
      </c>
      <c r="S13" s="34">
        <v>1</v>
      </c>
      <c r="T13" s="4">
        <v>0</v>
      </c>
      <c r="U13" s="34">
        <v>0</v>
      </c>
      <c r="V13" s="39">
        <f t="shared" si="7"/>
        <v>0</v>
      </c>
      <c r="W13" s="39">
        <v>0</v>
      </c>
      <c r="X13" s="39">
        <v>0</v>
      </c>
      <c r="Y13" s="39">
        <v>0</v>
      </c>
    </row>
    <row r="14" spans="1:25">
      <c r="A14" s="42"/>
      <c r="B14" s="83"/>
      <c r="C14" s="42"/>
      <c r="D14" s="42"/>
      <c r="E14" s="43"/>
      <c r="F14" s="44"/>
      <c r="G14" s="44">
        <f t="shared" si="2"/>
        <v>0</v>
      </c>
      <c r="H14" s="86">
        <f t="shared" si="3"/>
        <v>0</v>
      </c>
      <c r="I14" s="87">
        <f t="shared" si="4"/>
        <v>0</v>
      </c>
      <c r="J14" s="44">
        <f t="shared" si="5"/>
        <v>0</v>
      </c>
      <c r="K14" s="44">
        <f t="shared" si="6"/>
        <v>0</v>
      </c>
      <c r="L14" s="4"/>
      <c r="M14" s="4"/>
      <c r="N14" s="4"/>
      <c r="O14" s="34">
        <f t="shared" si="0"/>
        <v>0</v>
      </c>
      <c r="P14" s="36">
        <f t="shared" ca="1" si="1"/>
        <v>42405.034320601852</v>
      </c>
      <c r="Q14" s="37" t="s">
        <v>46</v>
      </c>
      <c r="R14" s="38" t="s">
        <v>1</v>
      </c>
      <c r="S14" s="34">
        <v>1</v>
      </c>
      <c r="T14" s="4">
        <v>0</v>
      </c>
      <c r="U14" s="34">
        <v>0</v>
      </c>
      <c r="V14" s="39">
        <f t="shared" si="7"/>
        <v>0</v>
      </c>
      <c r="W14" s="39">
        <v>0</v>
      </c>
      <c r="X14" s="39">
        <v>0</v>
      </c>
      <c r="Y14" s="39">
        <v>0</v>
      </c>
    </row>
    <row r="15" spans="1:25">
      <c r="A15" s="42"/>
      <c r="B15" s="83"/>
      <c r="C15" s="42"/>
      <c r="D15" s="42"/>
      <c r="E15" s="43"/>
      <c r="F15" s="44"/>
      <c r="G15" s="44">
        <f t="shared" si="2"/>
        <v>0</v>
      </c>
      <c r="H15" s="86">
        <f t="shared" si="3"/>
        <v>0</v>
      </c>
      <c r="I15" s="87">
        <f t="shared" si="4"/>
        <v>0</v>
      </c>
      <c r="J15" s="44">
        <f t="shared" si="5"/>
        <v>0</v>
      </c>
      <c r="K15" s="44">
        <f t="shared" si="6"/>
        <v>0</v>
      </c>
      <c r="L15" s="4"/>
      <c r="M15" s="4"/>
      <c r="N15" s="4"/>
      <c r="O15" s="34">
        <f t="shared" si="0"/>
        <v>0</v>
      </c>
      <c r="P15" s="36">
        <f t="shared" ca="1" si="1"/>
        <v>42405.034320601852</v>
      </c>
      <c r="Q15" s="37" t="s">
        <v>46</v>
      </c>
      <c r="R15" s="38" t="s">
        <v>1</v>
      </c>
      <c r="S15" s="34">
        <v>1</v>
      </c>
      <c r="T15" s="4">
        <v>0</v>
      </c>
      <c r="U15" s="34">
        <v>0</v>
      </c>
      <c r="V15" s="39">
        <f t="shared" si="7"/>
        <v>0</v>
      </c>
      <c r="W15" s="39">
        <v>0</v>
      </c>
      <c r="X15" s="39">
        <v>0</v>
      </c>
      <c r="Y15" s="39">
        <v>0</v>
      </c>
    </row>
    <row r="16" spans="1:25">
      <c r="A16" s="42"/>
      <c r="B16" s="83"/>
      <c r="C16" s="42"/>
      <c r="D16" s="42"/>
      <c r="E16" s="43"/>
      <c r="F16" s="44"/>
      <c r="G16" s="44">
        <f t="shared" si="2"/>
        <v>0</v>
      </c>
      <c r="H16" s="86">
        <f t="shared" si="3"/>
        <v>0</v>
      </c>
      <c r="I16" s="87">
        <f t="shared" si="4"/>
        <v>0</v>
      </c>
      <c r="J16" s="44">
        <f t="shared" si="5"/>
        <v>0</v>
      </c>
      <c r="K16" s="44">
        <f t="shared" si="6"/>
        <v>0</v>
      </c>
      <c r="L16" s="4"/>
      <c r="M16" s="4"/>
      <c r="N16" s="4"/>
      <c r="O16" s="34">
        <f t="shared" si="0"/>
        <v>0</v>
      </c>
      <c r="P16" s="36">
        <f t="shared" ca="1" si="1"/>
        <v>42405.034320601852</v>
      </c>
      <c r="Q16" s="37" t="s">
        <v>46</v>
      </c>
      <c r="R16" s="38" t="s">
        <v>1</v>
      </c>
      <c r="S16" s="34">
        <v>1</v>
      </c>
      <c r="T16" s="4">
        <v>0</v>
      </c>
      <c r="U16" s="34">
        <v>0</v>
      </c>
      <c r="V16" s="39">
        <f t="shared" si="7"/>
        <v>0</v>
      </c>
      <c r="W16" s="39">
        <v>0</v>
      </c>
      <c r="X16" s="39">
        <v>0</v>
      </c>
      <c r="Y16" s="39">
        <v>0</v>
      </c>
    </row>
    <row r="17" spans="1:25">
      <c r="A17" s="42"/>
      <c r="B17" s="83"/>
      <c r="C17" s="42"/>
      <c r="D17" s="42"/>
      <c r="E17" s="43"/>
      <c r="F17" s="44"/>
      <c r="G17" s="44">
        <f t="shared" si="2"/>
        <v>0</v>
      </c>
      <c r="H17" s="86">
        <f t="shared" si="3"/>
        <v>0</v>
      </c>
      <c r="I17" s="87">
        <f t="shared" si="4"/>
        <v>0</v>
      </c>
      <c r="J17" s="44">
        <f t="shared" si="5"/>
        <v>0</v>
      </c>
      <c r="K17" s="44">
        <f t="shared" si="6"/>
        <v>0</v>
      </c>
      <c r="L17" s="4"/>
      <c r="M17" s="4"/>
      <c r="N17" s="4"/>
      <c r="O17" s="34">
        <f t="shared" si="0"/>
        <v>0</v>
      </c>
      <c r="P17" s="36">
        <f t="shared" ca="1" si="1"/>
        <v>42405.034320601852</v>
      </c>
      <c r="Q17" s="37" t="s">
        <v>46</v>
      </c>
      <c r="R17" s="38" t="s">
        <v>1</v>
      </c>
      <c r="S17" s="34">
        <v>1</v>
      </c>
      <c r="T17" s="4">
        <v>0</v>
      </c>
      <c r="U17" s="34">
        <v>0</v>
      </c>
      <c r="V17" s="39">
        <f t="shared" si="7"/>
        <v>0</v>
      </c>
      <c r="W17" s="39">
        <v>0</v>
      </c>
      <c r="X17" s="39">
        <v>0</v>
      </c>
      <c r="Y17" s="39">
        <v>0</v>
      </c>
    </row>
    <row r="18" spans="1:25">
      <c r="A18" s="42"/>
      <c r="B18" s="83"/>
      <c r="C18" s="42"/>
      <c r="D18" s="42"/>
      <c r="E18" s="43"/>
      <c r="F18" s="44"/>
      <c r="G18" s="44">
        <f t="shared" si="2"/>
        <v>0</v>
      </c>
      <c r="H18" s="86">
        <f t="shared" si="3"/>
        <v>0</v>
      </c>
      <c r="I18" s="87">
        <f t="shared" si="4"/>
        <v>0</v>
      </c>
      <c r="J18" s="44">
        <f t="shared" si="5"/>
        <v>0</v>
      </c>
      <c r="K18" s="44">
        <f t="shared" si="6"/>
        <v>0</v>
      </c>
      <c r="L18" s="4"/>
      <c r="M18" s="4"/>
      <c r="N18" s="4"/>
      <c r="O18" s="34">
        <f t="shared" si="0"/>
        <v>0</v>
      </c>
      <c r="P18" s="36">
        <f t="shared" ca="1" si="1"/>
        <v>42405.034320601852</v>
      </c>
      <c r="Q18" s="37" t="s">
        <v>46</v>
      </c>
      <c r="R18" s="38" t="s">
        <v>1</v>
      </c>
      <c r="S18" s="34">
        <v>1</v>
      </c>
      <c r="T18" s="4">
        <v>0</v>
      </c>
      <c r="U18" s="34">
        <v>0</v>
      </c>
      <c r="V18" s="39">
        <f t="shared" si="7"/>
        <v>0</v>
      </c>
      <c r="W18" s="39">
        <v>0</v>
      </c>
      <c r="X18" s="39">
        <v>0</v>
      </c>
      <c r="Y18" s="39">
        <v>0</v>
      </c>
    </row>
    <row r="19" spans="1:25">
      <c r="A19" s="42"/>
      <c r="B19" s="83"/>
      <c r="C19" s="42"/>
      <c r="D19" s="42"/>
      <c r="E19" s="43"/>
      <c r="F19" s="44"/>
      <c r="G19" s="44">
        <f t="shared" si="2"/>
        <v>0</v>
      </c>
      <c r="H19" s="86">
        <f t="shared" si="3"/>
        <v>0</v>
      </c>
      <c r="I19" s="87">
        <f t="shared" si="4"/>
        <v>0</v>
      </c>
      <c r="J19" s="44">
        <f t="shared" si="5"/>
        <v>0</v>
      </c>
      <c r="K19" s="44">
        <f t="shared" si="6"/>
        <v>0</v>
      </c>
      <c r="L19" s="4"/>
      <c r="M19" s="4"/>
      <c r="N19" s="4"/>
      <c r="O19" s="34">
        <f t="shared" si="0"/>
        <v>0</v>
      </c>
      <c r="P19" s="36">
        <f t="shared" ca="1" si="1"/>
        <v>42405.034320601852</v>
      </c>
      <c r="Q19" s="37" t="s">
        <v>46</v>
      </c>
      <c r="R19" s="38" t="s">
        <v>1</v>
      </c>
      <c r="S19" s="34">
        <v>1</v>
      </c>
      <c r="T19" s="4">
        <v>0</v>
      </c>
      <c r="U19" s="34">
        <v>0</v>
      </c>
      <c r="V19" s="39">
        <f t="shared" si="7"/>
        <v>0</v>
      </c>
      <c r="W19" s="39">
        <v>0</v>
      </c>
      <c r="X19" s="39">
        <v>0</v>
      </c>
      <c r="Y19" s="39">
        <v>0</v>
      </c>
    </row>
    <row r="20" spans="1:25">
      <c r="A20" s="42"/>
      <c r="B20" s="83"/>
      <c r="C20" s="42"/>
      <c r="D20" s="42"/>
      <c r="E20" s="43"/>
      <c r="F20" s="44"/>
      <c r="G20" s="44">
        <f t="shared" si="2"/>
        <v>0</v>
      </c>
      <c r="H20" s="86">
        <f t="shared" si="3"/>
        <v>0</v>
      </c>
      <c r="I20" s="87">
        <f t="shared" si="4"/>
        <v>0</v>
      </c>
      <c r="J20" s="44">
        <f t="shared" si="5"/>
        <v>0</v>
      </c>
      <c r="K20" s="44">
        <f t="shared" si="6"/>
        <v>0</v>
      </c>
      <c r="L20" s="4"/>
      <c r="M20" s="4"/>
      <c r="N20" s="4"/>
      <c r="O20" s="34">
        <f t="shared" si="0"/>
        <v>0</v>
      </c>
      <c r="P20" s="36">
        <f t="shared" ca="1" si="1"/>
        <v>42405.034320601852</v>
      </c>
      <c r="Q20" s="37" t="s">
        <v>46</v>
      </c>
      <c r="R20" s="38" t="s">
        <v>1</v>
      </c>
      <c r="S20" s="34">
        <v>1</v>
      </c>
      <c r="T20" s="4">
        <v>0</v>
      </c>
      <c r="U20" s="34">
        <v>0</v>
      </c>
      <c r="V20" s="39">
        <f t="shared" si="7"/>
        <v>0</v>
      </c>
      <c r="W20" s="39">
        <v>0</v>
      </c>
      <c r="X20" s="39">
        <v>0</v>
      </c>
      <c r="Y20" s="39">
        <v>0</v>
      </c>
    </row>
    <row r="21" spans="1:25">
      <c r="A21" s="42"/>
      <c r="B21" s="83"/>
      <c r="C21" s="42"/>
      <c r="D21" s="42"/>
      <c r="E21" s="43"/>
      <c r="F21" s="44"/>
      <c r="G21" s="44">
        <f t="shared" si="2"/>
        <v>0</v>
      </c>
      <c r="H21" s="86">
        <f t="shared" si="3"/>
        <v>0</v>
      </c>
      <c r="I21" s="87">
        <f t="shared" si="4"/>
        <v>0</v>
      </c>
      <c r="J21" s="44">
        <f t="shared" si="5"/>
        <v>0</v>
      </c>
      <c r="K21" s="44">
        <f t="shared" si="6"/>
        <v>0</v>
      </c>
      <c r="L21" s="4"/>
      <c r="M21" s="4"/>
      <c r="N21" s="4"/>
      <c r="O21" s="34">
        <f t="shared" si="0"/>
        <v>0</v>
      </c>
      <c r="P21" s="36">
        <f t="shared" ca="1" si="1"/>
        <v>42405.034320601852</v>
      </c>
      <c r="Q21" s="37" t="s">
        <v>46</v>
      </c>
      <c r="R21" s="38" t="s">
        <v>1</v>
      </c>
      <c r="S21" s="34">
        <v>1</v>
      </c>
      <c r="T21" s="4">
        <v>0</v>
      </c>
      <c r="U21" s="34">
        <v>0</v>
      </c>
      <c r="V21" s="39">
        <f t="shared" si="7"/>
        <v>0</v>
      </c>
      <c r="W21" s="39">
        <v>0</v>
      </c>
      <c r="X21" s="39">
        <v>0</v>
      </c>
      <c r="Y21" s="39">
        <v>0</v>
      </c>
    </row>
    <row r="22" spans="1:25">
      <c r="A22" s="42"/>
      <c r="B22" s="83"/>
      <c r="C22" s="42"/>
      <c r="D22" s="42"/>
      <c r="E22" s="43"/>
      <c r="F22" s="44"/>
      <c r="G22" s="44">
        <f t="shared" si="2"/>
        <v>0</v>
      </c>
      <c r="H22" s="86">
        <f t="shared" si="3"/>
        <v>0</v>
      </c>
      <c r="I22" s="87">
        <f t="shared" si="4"/>
        <v>0</v>
      </c>
      <c r="J22" s="44">
        <f t="shared" si="5"/>
        <v>0</v>
      </c>
      <c r="K22" s="44">
        <f t="shared" si="6"/>
        <v>0</v>
      </c>
      <c r="L22" s="4"/>
      <c r="M22" s="4"/>
      <c r="N22" s="4"/>
      <c r="O22" s="34">
        <f t="shared" si="0"/>
        <v>0</v>
      </c>
      <c r="P22" s="36">
        <f t="shared" ca="1" si="1"/>
        <v>42405.034320601852</v>
      </c>
      <c r="Q22" s="37" t="s">
        <v>46</v>
      </c>
      <c r="R22" s="38" t="s">
        <v>1</v>
      </c>
      <c r="S22" s="34">
        <v>1</v>
      </c>
      <c r="T22" s="4">
        <v>0</v>
      </c>
      <c r="U22" s="34">
        <v>0</v>
      </c>
      <c r="V22" s="39">
        <f t="shared" si="7"/>
        <v>0</v>
      </c>
      <c r="W22" s="39">
        <v>0</v>
      </c>
      <c r="X22" s="39">
        <v>0</v>
      </c>
      <c r="Y22" s="39">
        <v>0</v>
      </c>
    </row>
    <row r="23" spans="1:25">
      <c r="A23" s="42"/>
      <c r="B23" s="83"/>
      <c r="C23" s="42"/>
      <c r="D23" s="42"/>
      <c r="E23" s="43"/>
      <c r="F23" s="44"/>
      <c r="G23" s="44">
        <f t="shared" si="2"/>
        <v>0</v>
      </c>
      <c r="H23" s="86">
        <f t="shared" si="3"/>
        <v>0</v>
      </c>
      <c r="I23" s="87">
        <f t="shared" si="4"/>
        <v>0</v>
      </c>
      <c r="J23" s="44">
        <f t="shared" si="5"/>
        <v>0</v>
      </c>
      <c r="K23" s="44">
        <f t="shared" si="6"/>
        <v>0</v>
      </c>
      <c r="L23" s="4"/>
      <c r="M23" s="4"/>
      <c r="N23" s="4"/>
      <c r="O23" s="34">
        <f t="shared" si="0"/>
        <v>0</v>
      </c>
      <c r="P23" s="36">
        <f t="shared" ca="1" si="1"/>
        <v>42405.034320601852</v>
      </c>
      <c r="Q23" s="37" t="s">
        <v>46</v>
      </c>
      <c r="R23" s="38" t="s">
        <v>1</v>
      </c>
      <c r="S23" s="34">
        <v>1</v>
      </c>
      <c r="T23" s="4">
        <v>0</v>
      </c>
      <c r="U23" s="34">
        <v>0</v>
      </c>
      <c r="V23" s="39">
        <f t="shared" si="7"/>
        <v>0</v>
      </c>
      <c r="W23" s="39">
        <v>0</v>
      </c>
      <c r="X23" s="39">
        <v>0</v>
      </c>
      <c r="Y23" s="39">
        <v>0</v>
      </c>
    </row>
    <row r="24" spans="1:25">
      <c r="A24" s="42"/>
      <c r="B24" s="83"/>
      <c r="C24" s="42"/>
      <c r="D24" s="42"/>
      <c r="E24" s="43"/>
      <c r="F24" s="44"/>
      <c r="G24" s="44">
        <f t="shared" si="2"/>
        <v>0</v>
      </c>
      <c r="H24" s="86">
        <f t="shared" si="3"/>
        <v>0</v>
      </c>
      <c r="I24" s="87">
        <f t="shared" si="4"/>
        <v>0</v>
      </c>
      <c r="J24" s="44">
        <f t="shared" si="5"/>
        <v>0</v>
      </c>
      <c r="K24" s="44">
        <f t="shared" si="6"/>
        <v>0</v>
      </c>
      <c r="L24" s="4"/>
      <c r="M24" s="4"/>
      <c r="N24" s="4"/>
      <c r="O24" s="34">
        <f t="shared" si="0"/>
        <v>0</v>
      </c>
      <c r="P24" s="36">
        <f t="shared" ca="1" si="1"/>
        <v>42405.034320601852</v>
      </c>
      <c r="Q24" s="37" t="s">
        <v>46</v>
      </c>
      <c r="R24" s="38" t="s">
        <v>1</v>
      </c>
      <c r="S24" s="34">
        <v>1</v>
      </c>
      <c r="T24" s="4">
        <v>0</v>
      </c>
      <c r="U24" s="34">
        <v>0</v>
      </c>
      <c r="V24" s="39">
        <f t="shared" si="7"/>
        <v>0</v>
      </c>
      <c r="W24" s="39">
        <v>0</v>
      </c>
      <c r="X24" s="39">
        <v>0</v>
      </c>
      <c r="Y24" s="39">
        <v>0</v>
      </c>
    </row>
    <row r="25" spans="1:25">
      <c r="A25" s="42"/>
      <c r="B25" s="83"/>
      <c r="C25" s="42"/>
      <c r="D25" s="42"/>
      <c r="E25" s="43"/>
      <c r="F25" s="44"/>
      <c r="G25" s="44">
        <f t="shared" si="2"/>
        <v>0</v>
      </c>
      <c r="H25" s="86">
        <f t="shared" si="3"/>
        <v>0</v>
      </c>
      <c r="I25" s="87">
        <f t="shared" si="4"/>
        <v>0</v>
      </c>
      <c r="J25" s="44">
        <f t="shared" si="5"/>
        <v>0</v>
      </c>
      <c r="K25" s="44">
        <f t="shared" si="6"/>
        <v>0</v>
      </c>
      <c r="L25" s="4"/>
      <c r="M25" s="4"/>
      <c r="N25" s="4"/>
      <c r="O25" s="34">
        <f t="shared" si="0"/>
        <v>0</v>
      </c>
      <c r="P25" s="36">
        <f t="shared" ca="1" si="1"/>
        <v>42405.034320601852</v>
      </c>
      <c r="Q25" s="37" t="s">
        <v>46</v>
      </c>
      <c r="R25" s="38" t="s">
        <v>1</v>
      </c>
      <c r="S25" s="34">
        <v>1</v>
      </c>
      <c r="T25" s="4">
        <v>0</v>
      </c>
      <c r="U25" s="34">
        <v>0</v>
      </c>
      <c r="V25" s="39">
        <f t="shared" si="7"/>
        <v>0</v>
      </c>
      <c r="W25" s="39">
        <v>0</v>
      </c>
      <c r="X25" s="39">
        <v>0</v>
      </c>
      <c r="Y25" s="39">
        <v>0</v>
      </c>
    </row>
    <row r="26" spans="1:25">
      <c r="A26" s="42"/>
      <c r="B26" s="83"/>
      <c r="C26" s="42"/>
      <c r="D26" s="42"/>
      <c r="E26" s="43"/>
      <c r="F26" s="44"/>
      <c r="G26" s="44">
        <f t="shared" si="2"/>
        <v>0</v>
      </c>
      <c r="H26" s="86">
        <f t="shared" si="3"/>
        <v>0</v>
      </c>
      <c r="I26" s="87">
        <f t="shared" si="4"/>
        <v>0</v>
      </c>
      <c r="J26" s="44">
        <f t="shared" si="5"/>
        <v>0</v>
      </c>
      <c r="K26" s="44">
        <f t="shared" si="6"/>
        <v>0</v>
      </c>
      <c r="L26" s="4"/>
      <c r="M26" s="4"/>
      <c r="N26" s="4"/>
      <c r="O26" s="34">
        <f t="shared" si="0"/>
        <v>0</v>
      </c>
      <c r="P26" s="36">
        <f t="shared" ca="1" si="1"/>
        <v>42405.034320601852</v>
      </c>
      <c r="Q26" s="37" t="s">
        <v>46</v>
      </c>
      <c r="R26" s="38" t="s">
        <v>1</v>
      </c>
      <c r="S26" s="34">
        <v>1</v>
      </c>
      <c r="T26" s="4">
        <v>0</v>
      </c>
      <c r="U26" s="34">
        <v>0</v>
      </c>
      <c r="V26" s="39">
        <f t="shared" si="7"/>
        <v>0</v>
      </c>
      <c r="W26" s="39">
        <v>0</v>
      </c>
      <c r="X26" s="39">
        <v>0</v>
      </c>
      <c r="Y26" s="39">
        <v>0</v>
      </c>
    </row>
    <row r="27" spans="1:25">
      <c r="A27" s="42"/>
      <c r="B27" s="83"/>
      <c r="C27" s="42"/>
      <c r="D27" s="42"/>
      <c r="E27" s="43"/>
      <c r="F27" s="44"/>
      <c r="G27" s="44">
        <f t="shared" si="2"/>
        <v>0</v>
      </c>
      <c r="H27" s="86">
        <f t="shared" si="3"/>
        <v>0</v>
      </c>
      <c r="I27" s="87">
        <f t="shared" si="4"/>
        <v>0</v>
      </c>
      <c r="J27" s="44">
        <f t="shared" si="5"/>
        <v>0</v>
      </c>
      <c r="K27" s="44">
        <f t="shared" si="6"/>
        <v>0</v>
      </c>
      <c r="L27" s="4"/>
      <c r="M27" s="4"/>
      <c r="N27" s="4"/>
      <c r="O27" s="34">
        <f t="shared" si="0"/>
        <v>0</v>
      </c>
      <c r="P27" s="36">
        <f t="shared" ca="1" si="1"/>
        <v>42405.034320601852</v>
      </c>
      <c r="Q27" s="37" t="s">
        <v>46</v>
      </c>
      <c r="R27" s="38" t="s">
        <v>1</v>
      </c>
      <c r="S27" s="34">
        <v>1</v>
      </c>
      <c r="T27" s="4">
        <v>0</v>
      </c>
      <c r="U27" s="34">
        <v>0</v>
      </c>
      <c r="V27" s="39">
        <f t="shared" si="7"/>
        <v>0</v>
      </c>
      <c r="W27" s="39">
        <v>0</v>
      </c>
      <c r="X27" s="39">
        <v>0</v>
      </c>
      <c r="Y27" s="39">
        <v>0</v>
      </c>
    </row>
    <row r="28" spans="1:25">
      <c r="A28" s="42"/>
      <c r="B28" s="83"/>
      <c r="C28" s="42"/>
      <c r="D28" s="42"/>
      <c r="E28" s="43"/>
      <c r="F28" s="44"/>
      <c r="G28" s="44">
        <f t="shared" si="2"/>
        <v>0</v>
      </c>
      <c r="H28" s="86">
        <f t="shared" si="3"/>
        <v>0</v>
      </c>
      <c r="I28" s="87">
        <f t="shared" si="4"/>
        <v>0</v>
      </c>
      <c r="J28" s="44">
        <f t="shared" si="5"/>
        <v>0</v>
      </c>
      <c r="K28" s="44">
        <f t="shared" si="6"/>
        <v>0</v>
      </c>
      <c r="L28" s="4"/>
      <c r="M28" s="4"/>
      <c r="N28" s="4"/>
      <c r="O28" s="34">
        <f t="shared" si="0"/>
        <v>0</v>
      </c>
      <c r="P28" s="36">
        <f t="shared" ca="1" si="1"/>
        <v>42405.034320601852</v>
      </c>
      <c r="Q28" s="37" t="s">
        <v>46</v>
      </c>
      <c r="R28" s="38" t="s">
        <v>1</v>
      </c>
      <c r="S28" s="34">
        <v>1</v>
      </c>
      <c r="T28" s="4">
        <v>0</v>
      </c>
      <c r="U28" s="34">
        <v>0</v>
      </c>
      <c r="V28" s="39">
        <f t="shared" si="7"/>
        <v>0</v>
      </c>
      <c r="W28" s="39">
        <v>0</v>
      </c>
      <c r="X28" s="39">
        <v>0</v>
      </c>
      <c r="Y28" s="39">
        <v>0</v>
      </c>
    </row>
    <row r="29" spans="1:25">
      <c r="A29" s="42"/>
      <c r="B29" s="83"/>
      <c r="C29" s="42"/>
      <c r="D29" s="42"/>
      <c r="E29" s="43"/>
      <c r="F29" s="44"/>
      <c r="G29" s="44">
        <f t="shared" si="2"/>
        <v>0</v>
      </c>
      <c r="H29" s="86">
        <f t="shared" si="3"/>
        <v>0</v>
      </c>
      <c r="I29" s="87">
        <f t="shared" si="4"/>
        <v>0</v>
      </c>
      <c r="J29" s="44">
        <f t="shared" si="5"/>
        <v>0</v>
      </c>
      <c r="K29" s="44">
        <f t="shared" si="6"/>
        <v>0</v>
      </c>
      <c r="L29" s="4"/>
      <c r="M29" s="4"/>
      <c r="N29" s="4"/>
      <c r="O29" s="34">
        <f t="shared" si="0"/>
        <v>0</v>
      </c>
      <c r="P29" s="36">
        <f t="shared" ca="1" si="1"/>
        <v>42405.034320601852</v>
      </c>
      <c r="Q29" s="37" t="s">
        <v>46</v>
      </c>
      <c r="R29" s="38" t="s">
        <v>1</v>
      </c>
      <c r="S29" s="34">
        <v>1</v>
      </c>
      <c r="T29" s="4">
        <v>0</v>
      </c>
      <c r="U29" s="34">
        <v>0</v>
      </c>
      <c r="V29" s="39">
        <f t="shared" si="7"/>
        <v>0</v>
      </c>
      <c r="W29" s="39">
        <v>0</v>
      </c>
      <c r="X29" s="39">
        <v>0</v>
      </c>
      <c r="Y29" s="39">
        <v>0</v>
      </c>
    </row>
    <row r="30" spans="1:25">
      <c r="A30" s="42"/>
      <c r="B30" s="83"/>
      <c r="C30" s="42"/>
      <c r="D30" s="42"/>
      <c r="E30" s="43"/>
      <c r="F30" s="44"/>
      <c r="G30" s="44">
        <f t="shared" si="2"/>
        <v>0</v>
      </c>
      <c r="H30" s="86">
        <f t="shared" si="3"/>
        <v>0</v>
      </c>
      <c r="I30" s="87">
        <f t="shared" si="4"/>
        <v>0</v>
      </c>
      <c r="J30" s="44">
        <f t="shared" si="5"/>
        <v>0</v>
      </c>
      <c r="K30" s="44">
        <f t="shared" si="6"/>
        <v>0</v>
      </c>
      <c r="L30" s="4"/>
      <c r="M30" s="4"/>
      <c r="N30" s="4"/>
      <c r="O30" s="34">
        <f t="shared" si="0"/>
        <v>0</v>
      </c>
      <c r="P30" s="36">
        <f t="shared" ca="1" si="1"/>
        <v>42405.034320601852</v>
      </c>
      <c r="Q30" s="37" t="s">
        <v>46</v>
      </c>
      <c r="R30" s="38" t="s">
        <v>1</v>
      </c>
      <c r="S30" s="34">
        <v>1</v>
      </c>
      <c r="T30" s="4">
        <v>0</v>
      </c>
      <c r="U30" s="34">
        <v>0</v>
      </c>
      <c r="V30" s="39">
        <f t="shared" si="7"/>
        <v>0</v>
      </c>
      <c r="W30" s="39">
        <v>0</v>
      </c>
      <c r="X30" s="39">
        <v>0</v>
      </c>
      <c r="Y30" s="39">
        <v>0</v>
      </c>
    </row>
    <row r="31" spans="1:25">
      <c r="A31" s="42"/>
      <c r="B31" s="83"/>
      <c r="C31" s="42"/>
      <c r="D31" s="42"/>
      <c r="E31" s="43"/>
      <c r="F31" s="44"/>
      <c r="G31" s="44">
        <f t="shared" si="2"/>
        <v>0</v>
      </c>
      <c r="H31" s="86">
        <f t="shared" si="3"/>
        <v>0</v>
      </c>
      <c r="I31" s="87">
        <f t="shared" si="4"/>
        <v>0</v>
      </c>
      <c r="J31" s="44">
        <f t="shared" si="5"/>
        <v>0</v>
      </c>
      <c r="K31" s="44">
        <f t="shared" si="6"/>
        <v>0</v>
      </c>
      <c r="L31" s="4"/>
      <c r="M31" s="4"/>
      <c r="N31" s="4"/>
      <c r="O31" s="34">
        <f t="shared" si="0"/>
        <v>0</v>
      </c>
      <c r="P31" s="36">
        <f t="shared" ca="1" si="1"/>
        <v>42405.034320601852</v>
      </c>
      <c r="Q31" s="37" t="s">
        <v>46</v>
      </c>
      <c r="R31" s="38" t="s">
        <v>1</v>
      </c>
      <c r="S31" s="34">
        <v>1</v>
      </c>
      <c r="T31" s="4">
        <v>0</v>
      </c>
      <c r="U31" s="34">
        <v>0</v>
      </c>
      <c r="V31" s="39">
        <f t="shared" si="7"/>
        <v>0</v>
      </c>
      <c r="W31" s="39">
        <v>0</v>
      </c>
      <c r="X31" s="39">
        <v>0</v>
      </c>
      <c r="Y31" s="39">
        <v>0</v>
      </c>
    </row>
    <row r="32" spans="1:25">
      <c r="A32" s="42"/>
      <c r="B32" s="83"/>
      <c r="C32" s="42"/>
      <c r="D32" s="42"/>
      <c r="E32" s="43"/>
      <c r="F32" s="44"/>
      <c r="G32" s="44">
        <f t="shared" si="2"/>
        <v>0</v>
      </c>
      <c r="H32" s="86">
        <f t="shared" si="3"/>
        <v>0</v>
      </c>
      <c r="I32" s="87">
        <f t="shared" si="4"/>
        <v>0</v>
      </c>
      <c r="J32" s="44">
        <f t="shared" si="5"/>
        <v>0</v>
      </c>
      <c r="K32" s="44">
        <f t="shared" si="6"/>
        <v>0</v>
      </c>
      <c r="L32" s="4"/>
      <c r="M32" s="4"/>
      <c r="N32" s="4"/>
      <c r="O32" s="34">
        <f t="shared" si="0"/>
        <v>0</v>
      </c>
      <c r="P32" s="36">
        <f t="shared" ca="1" si="1"/>
        <v>42405.034320601852</v>
      </c>
      <c r="Q32" s="37" t="s">
        <v>46</v>
      </c>
      <c r="R32" s="38" t="s">
        <v>1</v>
      </c>
      <c r="S32" s="34">
        <v>1</v>
      </c>
      <c r="T32" s="4">
        <v>0</v>
      </c>
      <c r="U32" s="34">
        <v>0</v>
      </c>
      <c r="V32" s="39">
        <f t="shared" si="7"/>
        <v>0</v>
      </c>
      <c r="W32" s="39">
        <v>0</v>
      </c>
      <c r="X32" s="39">
        <v>0</v>
      </c>
      <c r="Y32" s="39">
        <v>0</v>
      </c>
    </row>
    <row r="33" spans="1:25">
      <c r="A33" s="42"/>
      <c r="B33" s="83"/>
      <c r="C33" s="42"/>
      <c r="D33" s="42"/>
      <c r="E33" s="43"/>
      <c r="F33" s="44"/>
      <c r="G33" s="44">
        <f t="shared" si="2"/>
        <v>0</v>
      </c>
      <c r="H33" s="86">
        <f t="shared" si="3"/>
        <v>0</v>
      </c>
      <c r="I33" s="87">
        <f t="shared" si="4"/>
        <v>0</v>
      </c>
      <c r="J33" s="44">
        <f t="shared" si="5"/>
        <v>0</v>
      </c>
      <c r="K33" s="44">
        <f t="shared" si="6"/>
        <v>0</v>
      </c>
      <c r="L33" s="4"/>
      <c r="M33" s="4"/>
      <c r="N33" s="4"/>
      <c r="O33" s="34">
        <f t="shared" si="0"/>
        <v>0</v>
      </c>
      <c r="P33" s="36">
        <f t="shared" ca="1" si="1"/>
        <v>42405.034320601852</v>
      </c>
      <c r="Q33" s="37" t="s">
        <v>46</v>
      </c>
      <c r="R33" s="38" t="s">
        <v>1</v>
      </c>
      <c r="S33" s="34">
        <v>1</v>
      </c>
      <c r="T33" s="4">
        <v>0</v>
      </c>
      <c r="U33" s="34">
        <v>0</v>
      </c>
      <c r="V33" s="39">
        <f t="shared" si="7"/>
        <v>0</v>
      </c>
      <c r="W33" s="39">
        <v>0</v>
      </c>
      <c r="X33" s="39">
        <v>0</v>
      </c>
      <c r="Y33" s="39">
        <v>0</v>
      </c>
    </row>
    <row r="34" spans="1:25">
      <c r="A34" s="42"/>
      <c r="B34" s="83"/>
      <c r="C34" s="42"/>
      <c r="D34" s="42"/>
      <c r="E34" s="43"/>
      <c r="F34" s="44"/>
      <c r="G34" s="44">
        <f t="shared" si="2"/>
        <v>0</v>
      </c>
      <c r="H34" s="86">
        <f t="shared" si="3"/>
        <v>0</v>
      </c>
      <c r="I34" s="87">
        <f t="shared" si="4"/>
        <v>0</v>
      </c>
      <c r="J34" s="44">
        <f t="shared" si="5"/>
        <v>0</v>
      </c>
      <c r="K34" s="44">
        <f t="shared" si="6"/>
        <v>0</v>
      </c>
      <c r="L34" s="4"/>
      <c r="M34" s="4"/>
      <c r="N34" s="4"/>
      <c r="O34" s="34">
        <f t="shared" si="0"/>
        <v>0</v>
      </c>
      <c r="P34" s="36">
        <f t="shared" ca="1" si="1"/>
        <v>42405.034320601852</v>
      </c>
      <c r="Q34" s="37" t="s">
        <v>46</v>
      </c>
      <c r="R34" s="38" t="s">
        <v>1</v>
      </c>
      <c r="S34" s="34">
        <v>1</v>
      </c>
      <c r="T34" s="4">
        <v>0</v>
      </c>
      <c r="U34" s="34">
        <v>0</v>
      </c>
      <c r="V34" s="39">
        <f t="shared" si="7"/>
        <v>0</v>
      </c>
      <c r="W34" s="39">
        <v>0</v>
      </c>
      <c r="X34" s="39">
        <v>0</v>
      </c>
      <c r="Y34" s="39">
        <v>0</v>
      </c>
    </row>
    <row r="35" spans="1:25">
      <c r="A35" s="42"/>
      <c r="B35" s="83"/>
      <c r="C35" s="42"/>
      <c r="D35" s="42"/>
      <c r="E35" s="43"/>
      <c r="F35" s="44"/>
      <c r="G35" s="44">
        <f t="shared" si="2"/>
        <v>0</v>
      </c>
      <c r="H35" s="86">
        <f t="shared" si="3"/>
        <v>0</v>
      </c>
      <c r="I35" s="87">
        <f t="shared" si="4"/>
        <v>0</v>
      </c>
      <c r="J35" s="44">
        <f t="shared" si="5"/>
        <v>0</v>
      </c>
      <c r="K35" s="44">
        <f t="shared" si="6"/>
        <v>0</v>
      </c>
      <c r="L35" s="4"/>
      <c r="M35" s="4"/>
      <c r="N35" s="4"/>
      <c r="O35" s="34">
        <f t="shared" si="0"/>
        <v>0</v>
      </c>
      <c r="P35" s="36">
        <f t="shared" ca="1" si="1"/>
        <v>42405.034320601852</v>
      </c>
      <c r="Q35" s="37" t="s">
        <v>46</v>
      </c>
      <c r="R35" s="38" t="s">
        <v>1</v>
      </c>
      <c r="S35" s="34">
        <v>1</v>
      </c>
      <c r="T35" s="4">
        <v>0</v>
      </c>
      <c r="U35" s="34">
        <v>0</v>
      </c>
      <c r="V35" s="39">
        <f t="shared" si="7"/>
        <v>0</v>
      </c>
      <c r="W35" s="39">
        <v>0</v>
      </c>
      <c r="X35" s="39">
        <v>0</v>
      </c>
      <c r="Y35" s="39">
        <v>0</v>
      </c>
    </row>
    <row r="36" spans="1:25">
      <c r="A36" s="42"/>
      <c r="B36" s="83"/>
      <c r="C36" s="42"/>
      <c r="D36" s="42"/>
      <c r="E36" s="43"/>
      <c r="F36" s="44"/>
      <c r="G36" s="44">
        <f t="shared" si="2"/>
        <v>0</v>
      </c>
      <c r="H36" s="86">
        <f t="shared" si="3"/>
        <v>0</v>
      </c>
      <c r="I36" s="87">
        <f t="shared" si="4"/>
        <v>0</v>
      </c>
      <c r="J36" s="44">
        <f t="shared" si="5"/>
        <v>0</v>
      </c>
      <c r="K36" s="44">
        <f t="shared" si="6"/>
        <v>0</v>
      </c>
      <c r="L36" s="4"/>
      <c r="M36" s="4"/>
      <c r="N36" s="4"/>
      <c r="O36" s="34">
        <f t="shared" si="0"/>
        <v>0</v>
      </c>
      <c r="P36" s="36">
        <f t="shared" ca="1" si="1"/>
        <v>42405.034320601852</v>
      </c>
      <c r="Q36" s="37" t="s">
        <v>46</v>
      </c>
      <c r="R36" s="38" t="s">
        <v>1</v>
      </c>
      <c r="S36" s="34">
        <v>1</v>
      </c>
      <c r="T36" s="4">
        <v>0</v>
      </c>
      <c r="U36" s="34">
        <v>0</v>
      </c>
      <c r="V36" s="39">
        <f t="shared" si="7"/>
        <v>0</v>
      </c>
      <c r="W36" s="39">
        <v>0</v>
      </c>
      <c r="X36" s="39">
        <v>0</v>
      </c>
      <c r="Y36" s="39">
        <v>0</v>
      </c>
    </row>
    <row r="37" spans="1:25">
      <c r="A37" s="42"/>
      <c r="B37" s="83"/>
      <c r="C37" s="42"/>
      <c r="D37" s="42"/>
      <c r="E37" s="43"/>
      <c r="F37" s="44"/>
      <c r="G37" s="44">
        <f t="shared" si="2"/>
        <v>0</v>
      </c>
      <c r="H37" s="86">
        <f t="shared" si="3"/>
        <v>0</v>
      </c>
      <c r="I37" s="87">
        <f t="shared" si="4"/>
        <v>0</v>
      </c>
      <c r="J37" s="44">
        <f t="shared" si="5"/>
        <v>0</v>
      </c>
      <c r="K37" s="44">
        <f t="shared" si="6"/>
        <v>0</v>
      </c>
      <c r="L37" s="4"/>
      <c r="M37" s="4"/>
      <c r="N37" s="4"/>
      <c r="O37" s="34">
        <f t="shared" si="0"/>
        <v>0</v>
      </c>
      <c r="P37" s="36">
        <f t="shared" ca="1" si="1"/>
        <v>42405.034320601852</v>
      </c>
      <c r="Q37" s="37" t="s">
        <v>46</v>
      </c>
      <c r="R37" s="38" t="s">
        <v>1</v>
      </c>
      <c r="S37" s="34">
        <v>1</v>
      </c>
      <c r="T37" s="4">
        <v>0</v>
      </c>
      <c r="U37" s="34">
        <v>0</v>
      </c>
      <c r="V37" s="39">
        <f t="shared" si="7"/>
        <v>0</v>
      </c>
      <c r="W37" s="39">
        <v>0</v>
      </c>
      <c r="X37" s="39">
        <v>0</v>
      </c>
      <c r="Y37" s="39">
        <v>0</v>
      </c>
    </row>
    <row r="38" spans="1:25" ht="15.75" thickBot="1">
      <c r="A38" s="42"/>
      <c r="B38" s="83"/>
      <c r="C38" s="42"/>
      <c r="D38" s="42"/>
      <c r="E38" s="43"/>
      <c r="F38" s="44"/>
      <c r="G38" s="44">
        <f t="shared" si="2"/>
        <v>0</v>
      </c>
      <c r="H38" s="86">
        <f t="shared" si="3"/>
        <v>0</v>
      </c>
      <c r="I38" s="87">
        <f t="shared" si="4"/>
        <v>0</v>
      </c>
      <c r="J38" s="44">
        <f t="shared" si="5"/>
        <v>0</v>
      </c>
      <c r="K38" s="44">
        <f t="shared" si="6"/>
        <v>0</v>
      </c>
      <c r="L38" s="34"/>
      <c r="M38" s="4"/>
      <c r="N38" s="4"/>
      <c r="O38" s="34">
        <f t="shared" si="0"/>
        <v>0</v>
      </c>
      <c r="P38" s="36">
        <f t="shared" ca="1" si="1"/>
        <v>42405.034320601852</v>
      </c>
      <c r="Q38" s="37" t="s">
        <v>46</v>
      </c>
      <c r="R38" s="38" t="s">
        <v>1</v>
      </c>
      <c r="S38" s="34">
        <v>1</v>
      </c>
      <c r="T38" s="4">
        <v>0</v>
      </c>
      <c r="U38" s="34">
        <v>0</v>
      </c>
      <c r="V38" s="39">
        <f t="shared" si="7"/>
        <v>0</v>
      </c>
      <c r="W38" s="39">
        <v>0</v>
      </c>
      <c r="X38" s="39">
        <v>0</v>
      </c>
      <c r="Y38" s="39">
        <v>0</v>
      </c>
    </row>
    <row r="39" spans="1:25" ht="15.75" thickBot="1">
      <c r="A39" s="69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6"/>
    </row>
    <row r="40" spans="1:25" ht="15.75" thickBot="1">
      <c r="A40" s="15"/>
      <c r="B40" s="15"/>
      <c r="C40" s="15"/>
      <c r="D40" s="15"/>
      <c r="E40" s="15"/>
      <c r="F40" s="45" t="s">
        <v>62</v>
      </c>
      <c r="G40" s="46">
        <f>SUM(G11:G39)</f>
        <v>0</v>
      </c>
      <c r="H40" s="15"/>
      <c r="I40" s="45" t="s">
        <v>62</v>
      </c>
      <c r="J40" s="46">
        <f>SUM(J11:J39)</f>
        <v>0</v>
      </c>
      <c r="K40" s="46">
        <f>SUM(K11:K39)</f>
        <v>0</v>
      </c>
      <c r="L40" s="34"/>
      <c r="M40" s="3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1:25" ht="15.75">
      <c r="A41" s="4"/>
      <c r="B41" s="4"/>
      <c r="C41" s="88" t="s">
        <v>63</v>
      </c>
      <c r="D41" s="4"/>
      <c r="E41" s="4"/>
      <c r="F41" s="4"/>
      <c r="G41" s="4"/>
      <c r="H41" s="4"/>
      <c r="I41" s="4"/>
      <c r="J41" s="4"/>
      <c r="K41" s="4"/>
      <c r="L41" s="26"/>
      <c r="M41" s="3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34"/>
      <c r="M42" s="3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26"/>
      <c r="M43" s="3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34"/>
      <c r="M44" s="3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26"/>
      <c r="M45" s="3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34"/>
      <c r="M46" s="3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26"/>
      <c r="M47" s="3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1: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34"/>
      <c r="M48" s="3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26"/>
      <c r="M49" s="3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34"/>
      <c r="M50" s="3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</sheetData>
  <mergeCells count="9">
    <mergeCell ref="F7:G7"/>
    <mergeCell ref="I7:J7"/>
    <mergeCell ref="K7:K8"/>
    <mergeCell ref="A7:A8"/>
    <mergeCell ref="B7:B8"/>
    <mergeCell ref="D7:D8"/>
    <mergeCell ref="E7:E8"/>
    <mergeCell ref="H7:H8"/>
    <mergeCell ref="C7:C8"/>
  </mergeCells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Materijalno knjigovodstvo" insertAfterMso="TabDeveloper">
        <group id="SimpleControls1" label="Nalog">
          <button id="MenuButton2" label="Novi nalog" imageMso="TableStyleClear" size="large" onAction="ThisWorkbook.NoviNalogm"/>
          <button id="MenuButton3" label="Dodaj redove" imageMso="FillMenu" size="large" onAction="ThisWorkbook.Dodavanjem"/>
          <button id="MenuButton4" label="Oduzmi redove" imageMso="FillUp" size="large" onAction="ThisWorkbook.Oduzimanjem"/>
        </group>
        <group id="SimpleControls2" label="Knjizenje">
          <button id="MenuButton6" label="Otvori materijalnu karticu" imageMso="AccessListEvents" size="large" onAction="ThisWorkbook.Otvaranjem"/>
          <button id="MenuButton1" label="Knjizenje" imageMso="CopyToPersonalCalendar" size="large" onAction="ThisWorkbook.Knjizenjem"/>
        </group>
        <group id="SimpleControls3" label="Pomocna knjiga">
          <button id="MenuButton10" label="Pomocna knjiga" imageMso="FunctionsFinancialInsertGallery" size="large" onAction="ThisWorkbook.Poknjiga"/>
        </group>
        <group id="SimpleControls55" label="Nivelacija">
          <button id="MenuButton88" label="Nivelacija" imageMso="TableOfContentsDialog" size="large" onAction="ThisWorkbook.Listnivelacija"/>
          <button id="MenuButton28" label="Preuzmi" imageMso="ReviewDisplayForReview" size="large" onAction="ThisWorkbook.Preuzmim"/>
          <button id="MenuButton089" label="Knjizi nivelaciju" imageMso="FormulaMoreFunctionsMenu" size="large" onAction="ThisWorkbook.Nivelacijam"/>
          <button id="MenuButton090" label="Nova nivelacija" imageMso="ReviewCompareTwoVersions" size="large" onAction="ThisWorkbook.NovaNivel"/>
        </group>
        <group id="SimpleControls56" label="Artikli">
          <button id="MenuButton29" label="Lista artikla" imageMso="MacroDefault" size="large" onAction="ThisWorkbook.Listam"/>
          <button id="MenuButton98" label="Izdvajanje" imageMso="FieldChooser" size="large" onAction="ThisWorkbook.Izdvajanjem"/>
          <button id="MenuButton129" label="Popis" imageMso="ReviewEditComment" size="large" onAction="ThisWorkbook.Popism"/>
        </group>
        <group id="SimpleControls33" label="Pomocne opcije">
          <button id="MenuButton61" label="Uputstvo" imageMso="PivotTableLayoutShowInOutlineForm" size="large" onAction="ThisWorkbook.uputstvo"/>
        </group>
      </tab>
      <tab id="CustomTab1fg" label="Program" insertAfterMso="Materijalno_knjigovodstvo">
        <group id="SimpleControls11f" label="Povratak na glavni meni">
          <button id="MenuButton21f" label="Glavni meni" imageMso="TableEffectsCellBevelGallery" size="large" onAction="Module1.MENI"/>
        </group>
        <group id="SimpleControls12f" label="Opcije">
          <button id="MenuButton29f" label="Finansijsko knjigovodstvo" imageMso="InternationalCurrency" size="large" onAction="Module1.FINANSIJSKO"/>
          <button id="MenuButton24f" label="Kalkulacije" imageMso="TableStyleTotalsRow" size="large" onAction="Module1.KALKULACIJE"/>
          <button id="MenuButton23f" label="Osnovna sredstva" imageMso="OpenStartPage" size="large" onAction="Module1.OSNOVNA"/>
          <button id="MenuButton25f" label="Zarade" imageMso="AccessListContacts" size="large" onAction="Module1.ZARAD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NALOG</vt:lpstr>
      <vt:lpstr>MATRICA</vt:lpstr>
      <vt:lpstr>POKNJIGA</vt:lpstr>
      <vt:lpstr>LISTA</vt:lpstr>
      <vt:lpstr>NIVEL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Milan</dc:creator>
  <cp:lastModifiedBy>rs</cp:lastModifiedBy>
  <dcterms:created xsi:type="dcterms:W3CDTF">2011-01-10T14:47:27Z</dcterms:created>
  <dcterms:modified xsi:type="dcterms:W3CDTF">2016-02-04T23:49:25Z</dcterms:modified>
</cp:coreProperties>
</file>