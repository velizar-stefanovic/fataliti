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5480" windowHeight="11640" tabRatio="700"/>
  </bookViews>
  <sheets>
    <sheet name="NALOG" sheetId="1" r:id="rId1"/>
    <sheet name="MATRICA" sheetId="2" r:id="rId2"/>
    <sheet name="DNEVNIK" sheetId="3" r:id="rId3"/>
    <sheet name="GLKNJIGA" sheetId="4" r:id="rId4"/>
    <sheet name="DUGOVI" sheetId="5" r:id="rId5"/>
    <sheet name="KOMITE" sheetId="6" r:id="rId6"/>
    <sheet name="BRUTO" sheetId="7" r:id="rId7"/>
    <sheet name="BRUTOM" sheetId="16" r:id="rId8"/>
    <sheet name="ULIV" sheetId="8" r:id="rId9"/>
    <sheet name="ODLIV" sheetId="9" r:id="rId10"/>
    <sheet name="KONPLAN" sheetId="10" r:id="rId11"/>
    <sheet name="IOS" sheetId="11" r:id="rId12"/>
    <sheet name="OCPRIL" sheetId="20" r:id="rId13"/>
    <sheet name="OCODLIV" sheetId="21" r:id="rId14"/>
  </sheets>
  <definedNames>
    <definedName name="_xlnm._FilterDatabase" localSheetId="6" hidden="1">BRUTO!$Q$18:$Q$30</definedName>
    <definedName name="_xlnm.Criteria" localSheetId="6">BRUTO!$Q$14:$Q$15</definedName>
    <definedName name="_xlnm.Extract" localSheetId="6">BRUTO!$P$18</definedName>
    <definedName name="plan0">KONPLAN!$A$1:$B$51</definedName>
    <definedName name="plan1">KONPLAN!$A$55:$B$97</definedName>
    <definedName name="plan2">KONPLAN!$A$100:$B$164</definedName>
    <definedName name="plan3">KONPLAN!$A$169:$B$199</definedName>
    <definedName name="plan4">KONPLAN!$A$203:$B$285</definedName>
    <definedName name="plan5">KONPLAN!$A$289:$B$368</definedName>
    <definedName name="plan6">KONPLAN!$A$372:$B$432</definedName>
    <definedName name="plan7">KONPLAN!$A$436:$B$451</definedName>
    <definedName name="plan8">KONPLAN!$A$455:$B$474</definedName>
    <definedName name="plan9">KONPLAN!$A$479:$B$544</definedName>
  </definedNames>
  <calcPr calcId="125725"/>
</workbook>
</file>

<file path=xl/calcChain.xml><?xml version="1.0" encoding="utf-8"?>
<calcChain xmlns="http://schemas.openxmlformats.org/spreadsheetml/2006/main">
  <c r="C16" i="1"/>
  <c r="B16"/>
  <c r="D16" s="1"/>
  <c r="N1" s="1"/>
  <c r="W15"/>
  <c r="V15"/>
  <c r="T15"/>
  <c r="S15"/>
  <c r="Q15"/>
  <c r="P15"/>
  <c r="O15"/>
  <c r="W14"/>
  <c r="V14"/>
  <c r="T14"/>
  <c r="S14"/>
  <c r="P14"/>
  <c r="O14"/>
  <c r="A14"/>
  <c r="Q14" s="1"/>
  <c r="W13"/>
  <c r="V13"/>
  <c r="T13"/>
  <c r="S13"/>
  <c r="P13"/>
  <c r="O13"/>
  <c r="A13"/>
  <c r="Q13" s="1"/>
  <c r="W12"/>
  <c r="V12"/>
  <c r="T12"/>
  <c r="S12"/>
  <c r="P12"/>
  <c r="O12"/>
  <c r="A12"/>
  <c r="Q12" s="1"/>
  <c r="W11"/>
  <c r="V11"/>
  <c r="T11"/>
  <c r="S11"/>
  <c r="P11"/>
  <c r="O11"/>
  <c r="A11"/>
  <c r="Q11" s="1"/>
  <c r="W10"/>
  <c r="V10"/>
  <c r="T10"/>
  <c r="S10"/>
  <c r="P10"/>
  <c r="O10"/>
  <c r="A10"/>
  <c r="Q10" s="1"/>
  <c r="W9"/>
  <c r="V9"/>
  <c r="T9"/>
  <c r="S9"/>
  <c r="P9"/>
  <c r="O9"/>
  <c r="A9"/>
  <c r="Q9" s="1"/>
  <c r="W8"/>
  <c r="V8"/>
  <c r="T8"/>
  <c r="S8"/>
  <c r="P8"/>
  <c r="O8"/>
  <c r="A8"/>
  <c r="Q8" s="1"/>
  <c r="W7"/>
  <c r="V7"/>
  <c r="T7"/>
  <c r="S7"/>
  <c r="P7"/>
  <c r="O7"/>
  <c r="A7"/>
  <c r="Q7" s="1"/>
  <c r="W6"/>
  <c r="V6"/>
  <c r="T6"/>
  <c r="S6"/>
  <c r="P6"/>
  <c r="O6"/>
  <c r="A6"/>
  <c r="Q6" s="1"/>
  <c r="W5"/>
  <c r="V5"/>
  <c r="T5"/>
  <c r="S5"/>
  <c r="P5"/>
  <c r="O5"/>
  <c r="A5"/>
  <c r="Q5" s="1"/>
  <c r="W4"/>
  <c r="V4"/>
  <c r="T4"/>
  <c r="S4"/>
  <c r="P4"/>
  <c r="O4"/>
  <c r="A4"/>
  <c r="Q4" s="1"/>
  <c r="W3"/>
  <c r="V3"/>
  <c r="T3"/>
  <c r="S3"/>
  <c r="Q3"/>
  <c r="P3"/>
  <c r="O3"/>
  <c r="BD26" i="7"/>
  <c r="BC26"/>
  <c r="E22"/>
  <c r="D22"/>
  <c r="G20"/>
  <c r="F20"/>
  <c r="A20"/>
  <c r="G19"/>
  <c r="G22" s="1"/>
  <c r="F19"/>
  <c r="F22" s="1"/>
  <c r="A19"/>
  <c r="G17"/>
  <c r="F17"/>
  <c r="G16"/>
  <c r="F16"/>
  <c r="G15"/>
  <c r="F15"/>
  <c r="G14"/>
  <c r="F14"/>
  <c r="G13"/>
  <c r="F13"/>
  <c r="G12"/>
  <c r="F12"/>
  <c r="G11"/>
  <c r="F11"/>
  <c r="G10"/>
  <c r="F10"/>
  <c r="G9"/>
  <c r="F9"/>
  <c r="G8"/>
  <c r="F8"/>
  <c r="T2"/>
  <c r="S2"/>
  <c r="G96" i="8"/>
  <c r="AN11" i="9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C9" s="1"/>
  <c r="AN12" l="1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H12"/>
  <c r="G12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H13"/>
  <c r="G13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H14"/>
  <c r="G14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H15"/>
  <c r="G15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H16"/>
  <c r="G16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H17"/>
  <c r="G17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H18"/>
  <c r="G18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H19"/>
  <c r="G19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H20"/>
  <c r="G20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H21"/>
  <c r="G21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H22"/>
  <c r="G22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H23"/>
  <c r="G23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H24"/>
  <c r="G24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H25"/>
  <c r="G25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H26"/>
  <c r="G26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H27"/>
  <c r="G27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H28"/>
  <c r="G28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H29"/>
  <c r="G29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H30"/>
  <c r="G30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H31"/>
  <c r="G31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H32"/>
  <c r="G32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H33"/>
  <c r="G33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H34"/>
  <c r="G34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H35"/>
  <c r="G35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H36"/>
  <c r="G36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H37"/>
  <c r="G37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H38"/>
  <c r="G38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H39"/>
  <c r="G39"/>
  <c r="H9" l="1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BD26" i="16" l="1"/>
  <c r="BC26"/>
  <c r="E22"/>
  <c r="D22"/>
  <c r="G20"/>
  <c r="F20"/>
  <c r="A20"/>
  <c r="G19"/>
  <c r="F19"/>
  <c r="A19"/>
  <c r="G17"/>
  <c r="F17"/>
  <c r="G16"/>
  <c r="F16"/>
  <c r="G15"/>
  <c r="F15"/>
  <c r="G14"/>
  <c r="F14"/>
  <c r="G13"/>
  <c r="F13"/>
  <c r="G12"/>
  <c r="F12"/>
  <c r="G11"/>
  <c r="F11"/>
  <c r="G10"/>
  <c r="F10"/>
  <c r="G9"/>
  <c r="F9"/>
  <c r="G8"/>
  <c r="F8"/>
  <c r="T2"/>
  <c r="S2"/>
  <c r="E18" i="11"/>
  <c r="E17"/>
  <c r="E15"/>
  <c r="G95" i="8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AN9"/>
  <c r="AN96" s="1"/>
  <c r="AM9"/>
  <c r="AM96" s="1"/>
  <c r="AL9"/>
  <c r="AL96" s="1"/>
  <c r="AK9"/>
  <c r="AK96" s="1"/>
  <c r="AJ9"/>
  <c r="AJ96" s="1"/>
  <c r="AI9"/>
  <c r="AI96" s="1"/>
  <c r="AH9"/>
  <c r="AH96" s="1"/>
  <c r="AG9"/>
  <c r="AG96" s="1"/>
  <c r="AF9"/>
  <c r="AF96" s="1"/>
  <c r="AE9"/>
  <c r="AE96" s="1"/>
  <c r="AD9"/>
  <c r="AD96" s="1"/>
  <c r="AC9"/>
  <c r="AC96" s="1"/>
  <c r="AB9"/>
  <c r="AB96" s="1"/>
  <c r="AA9"/>
  <c r="AA96" s="1"/>
  <c r="Z9"/>
  <c r="Z96" s="1"/>
  <c r="Y9"/>
  <c r="Y96" s="1"/>
  <c r="X9"/>
  <c r="X96" s="1"/>
  <c r="W9"/>
  <c r="W96" s="1"/>
  <c r="V9"/>
  <c r="V96" s="1"/>
  <c r="U9"/>
  <c r="U96" s="1"/>
  <c r="T9"/>
  <c r="T96" s="1"/>
  <c r="S9"/>
  <c r="S96" s="1"/>
  <c r="R9"/>
  <c r="R96" s="1"/>
  <c r="Q9"/>
  <c r="Q96" s="1"/>
  <c r="P9"/>
  <c r="P96" s="1"/>
  <c r="O9"/>
  <c r="O96" s="1"/>
  <c r="N9"/>
  <c r="N96" s="1"/>
  <c r="M9"/>
  <c r="M96" s="1"/>
  <c r="L9"/>
  <c r="L96" s="1"/>
  <c r="K9"/>
  <c r="K96" s="1"/>
  <c r="J9"/>
  <c r="C7" l="1"/>
  <c r="H96"/>
  <c r="J96"/>
  <c r="G22" i="16"/>
  <c r="F22"/>
  <c r="AN17" i="8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H46"/>
  <c r="G46"/>
  <c r="J95"/>
  <c r="H95"/>
  <c r="J94"/>
  <c r="H94"/>
  <c r="J93"/>
  <c r="H93"/>
  <c r="J92"/>
  <c r="H92"/>
  <c r="J91"/>
  <c r="H91"/>
  <c r="J90"/>
  <c r="H90"/>
  <c r="J89"/>
  <c r="H89"/>
  <c r="J88"/>
  <c r="H88"/>
  <c r="J87"/>
  <c r="H87"/>
  <c r="J86"/>
  <c r="H86"/>
  <c r="J85"/>
  <c r="H85"/>
  <c r="J84"/>
  <c r="H84"/>
  <c r="J83"/>
  <c r="H83"/>
  <c r="J82"/>
  <c r="H82"/>
  <c r="J81"/>
  <c r="H81"/>
  <c r="J80"/>
  <c r="H80"/>
  <c r="J79"/>
  <c r="H79"/>
  <c r="J78"/>
  <c r="H78"/>
  <c r="J77"/>
  <c r="H77"/>
  <c r="J76"/>
  <c r="H76"/>
  <c r="J75"/>
  <c r="H75"/>
  <c r="J74"/>
  <c r="H74"/>
  <c r="J73"/>
  <c r="H73"/>
  <c r="J72"/>
  <c r="H72"/>
  <c r="J71"/>
  <c r="H71"/>
  <c r="J70"/>
  <c r="H70"/>
  <c r="J69"/>
  <c r="H69"/>
  <c r="J68"/>
  <c r="H68"/>
  <c r="J67"/>
  <c r="H67"/>
  <c r="J66"/>
  <c r="H66"/>
  <c r="J65"/>
  <c r="H65"/>
  <c r="J64"/>
  <c r="H64"/>
  <c r="J63"/>
  <c r="H63"/>
  <c r="J62"/>
  <c r="H62"/>
  <c r="J61"/>
  <c r="H61"/>
  <c r="J60"/>
  <c r="H60"/>
  <c r="J59"/>
  <c r="H59"/>
  <c r="J58"/>
  <c r="H58"/>
  <c r="J57"/>
  <c r="H57"/>
  <c r="J56"/>
  <c r="H56"/>
  <c r="J55"/>
  <c r="H55"/>
  <c r="J54"/>
  <c r="H54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Q95"/>
  <c r="Q94"/>
  <c r="Q93"/>
  <c r="Q92"/>
  <c r="Q91"/>
  <c r="Q90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62"/>
  <c r="Q61"/>
  <c r="Q60"/>
  <c r="Q59"/>
  <c r="Q58"/>
  <c r="Q57"/>
  <c r="Q56"/>
  <c r="Q55"/>
  <c r="Q54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R56"/>
  <c r="R55"/>
  <c r="R54"/>
  <c r="S95"/>
  <c r="S94"/>
  <c r="S93"/>
  <c r="S92"/>
  <c r="S91"/>
  <c r="S90"/>
  <c r="S89"/>
  <c r="S88"/>
  <c r="S87"/>
  <c r="S86"/>
  <c r="S85"/>
  <c r="S84"/>
  <c r="S83"/>
  <c r="S82"/>
  <c r="S81"/>
  <c r="S80"/>
  <c r="S79"/>
  <c r="S78"/>
  <c r="S77"/>
  <c r="S76"/>
  <c r="S75"/>
  <c r="S74"/>
  <c r="S73"/>
  <c r="S72"/>
  <c r="S71"/>
  <c r="S70"/>
  <c r="S69"/>
  <c r="S68"/>
  <c r="S67"/>
  <c r="S66"/>
  <c r="S65"/>
  <c r="S64"/>
  <c r="S63"/>
  <c r="S62"/>
  <c r="S61"/>
  <c r="S60"/>
  <c r="S59"/>
  <c r="S58"/>
  <c r="S57"/>
  <c r="S56"/>
  <c r="S55"/>
  <c r="S54"/>
  <c r="T95"/>
  <c r="T94"/>
  <c r="T93"/>
  <c r="T92"/>
  <c r="T91"/>
  <c r="T90"/>
  <c r="T89"/>
  <c r="T88"/>
  <c r="T87"/>
  <c r="T86"/>
  <c r="T85"/>
  <c r="T84"/>
  <c r="T83"/>
  <c r="T82"/>
  <c r="T81"/>
  <c r="T80"/>
  <c r="T79"/>
  <c r="T78"/>
  <c r="T77"/>
  <c r="T76"/>
  <c r="T75"/>
  <c r="T74"/>
  <c r="T73"/>
  <c r="T72"/>
  <c r="T71"/>
  <c r="T70"/>
  <c r="T69"/>
  <c r="T68"/>
  <c r="T67"/>
  <c r="T66"/>
  <c r="T65"/>
  <c r="T64"/>
  <c r="T63"/>
  <c r="T62"/>
  <c r="T61"/>
  <c r="T60"/>
  <c r="T59"/>
  <c r="T58"/>
  <c r="T57"/>
  <c r="T56"/>
  <c r="T55"/>
  <c r="T54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V57"/>
  <c r="V56"/>
  <c r="V55"/>
  <c r="V54"/>
  <c r="W95"/>
  <c r="W94"/>
  <c r="W93"/>
  <c r="W92"/>
  <c r="W91"/>
  <c r="W90"/>
  <c r="W89"/>
  <c r="W88"/>
  <c r="W87"/>
  <c r="W86"/>
  <c r="W85"/>
  <c r="W84"/>
  <c r="W83"/>
  <c r="W82"/>
  <c r="W81"/>
  <c r="W80"/>
  <c r="W79"/>
  <c r="W78"/>
  <c r="W77"/>
  <c r="W76"/>
  <c r="W75"/>
  <c r="W74"/>
  <c r="W73"/>
  <c r="W72"/>
  <c r="W71"/>
  <c r="W70"/>
  <c r="W69"/>
  <c r="W68"/>
  <c r="W67"/>
  <c r="W66"/>
  <c r="W65"/>
  <c r="W64"/>
  <c r="W63"/>
  <c r="W62"/>
  <c r="W61"/>
  <c r="W60"/>
  <c r="W59"/>
  <c r="W58"/>
  <c r="W57"/>
  <c r="W56"/>
  <c r="W55"/>
  <c r="W54"/>
  <c r="X95"/>
  <c r="X94"/>
  <c r="X93"/>
  <c r="X92"/>
  <c r="X91"/>
  <c r="X90"/>
  <c r="X89"/>
  <c r="X88"/>
  <c r="X87"/>
  <c r="X86"/>
  <c r="X85"/>
  <c r="X84"/>
  <c r="X83"/>
  <c r="X82"/>
  <c r="X81"/>
  <c r="X80"/>
  <c r="X79"/>
  <c r="X78"/>
  <c r="X77"/>
  <c r="X76"/>
  <c r="X75"/>
  <c r="X74"/>
  <c r="X73"/>
  <c r="X72"/>
  <c r="X71"/>
  <c r="X70"/>
  <c r="X69"/>
  <c r="X68"/>
  <c r="X67"/>
  <c r="X66"/>
  <c r="X65"/>
  <c r="X64"/>
  <c r="X63"/>
  <c r="X62"/>
  <c r="X61"/>
  <c r="X60"/>
  <c r="X59"/>
  <c r="X58"/>
  <c r="X57"/>
  <c r="X56"/>
  <c r="X55"/>
  <c r="X54"/>
  <c r="Y95"/>
  <c r="Y94"/>
  <c r="Y93"/>
  <c r="Y92"/>
  <c r="Y91"/>
  <c r="Y90"/>
  <c r="Y89"/>
  <c r="Y88"/>
  <c r="Y87"/>
  <c r="Y86"/>
  <c r="Y85"/>
  <c r="Y84"/>
  <c r="Y83"/>
  <c r="Y82"/>
  <c r="Y81"/>
  <c r="Y80"/>
  <c r="Y79"/>
  <c r="Y78"/>
  <c r="Y77"/>
  <c r="Y76"/>
  <c r="Y75"/>
  <c r="Y74"/>
  <c r="Y73"/>
  <c r="Y72"/>
  <c r="Y71"/>
  <c r="Y70"/>
  <c r="Y69"/>
  <c r="Y68"/>
  <c r="Y67"/>
  <c r="Y66"/>
  <c r="Y65"/>
  <c r="Y64"/>
  <c r="Y63"/>
  <c r="Y62"/>
  <c r="Y61"/>
  <c r="Y60"/>
  <c r="Y59"/>
  <c r="Y58"/>
  <c r="Y57"/>
  <c r="Y56"/>
  <c r="Y55"/>
  <c r="Y54"/>
  <c r="Z95"/>
  <c r="Z94"/>
  <c r="Z93"/>
  <c r="Z92"/>
  <c r="Z91"/>
  <c r="Z90"/>
  <c r="Z89"/>
  <c r="Z88"/>
  <c r="Z87"/>
  <c r="Z86"/>
  <c r="Z85"/>
  <c r="Z84"/>
  <c r="Z83"/>
  <c r="Z82"/>
  <c r="Z81"/>
  <c r="Z80"/>
  <c r="Z79"/>
  <c r="Z78"/>
  <c r="Z77"/>
  <c r="Z76"/>
  <c r="Z75"/>
  <c r="Z74"/>
  <c r="Z73"/>
  <c r="Z72"/>
  <c r="Z71"/>
  <c r="Z70"/>
  <c r="Z69"/>
  <c r="Z68"/>
  <c r="Z67"/>
  <c r="Z66"/>
  <c r="Z65"/>
  <c r="Z64"/>
  <c r="Z63"/>
  <c r="Z62"/>
  <c r="Z61"/>
  <c r="Z60"/>
  <c r="Z59"/>
  <c r="Z58"/>
  <c r="Z57"/>
  <c r="Z56"/>
  <c r="Z55"/>
  <c r="Z54"/>
  <c r="AA95"/>
  <c r="AA94"/>
  <c r="AA93"/>
  <c r="AA92"/>
  <c r="AA91"/>
  <c r="AA90"/>
  <c r="AA89"/>
  <c r="AA88"/>
  <c r="AA87"/>
  <c r="AA86"/>
  <c r="AA85"/>
  <c r="AA84"/>
  <c r="AA83"/>
  <c r="AA82"/>
  <c r="AA81"/>
  <c r="AA80"/>
  <c r="AA79"/>
  <c r="AA78"/>
  <c r="AA77"/>
  <c r="AA76"/>
  <c r="AA75"/>
  <c r="AA74"/>
  <c r="AA73"/>
  <c r="AA72"/>
  <c r="AA71"/>
  <c r="AA70"/>
  <c r="AA69"/>
  <c r="AA68"/>
  <c r="AA67"/>
  <c r="AA66"/>
  <c r="AA65"/>
  <c r="AA64"/>
  <c r="AA63"/>
  <c r="AA62"/>
  <c r="AA61"/>
  <c r="AA60"/>
  <c r="AA59"/>
  <c r="AA58"/>
  <c r="AA57"/>
  <c r="AA56"/>
  <c r="AA55"/>
  <c r="AA54"/>
  <c r="AB95"/>
  <c r="AB94"/>
  <c r="AB93"/>
  <c r="AB92"/>
  <c r="AB91"/>
  <c r="AB90"/>
  <c r="AB89"/>
  <c r="AB88"/>
  <c r="AB87"/>
  <c r="AB86"/>
  <c r="AB85"/>
  <c r="AB84"/>
  <c r="AB83"/>
  <c r="AB82"/>
  <c r="AB81"/>
  <c r="AB80"/>
  <c r="AB79"/>
  <c r="AB78"/>
  <c r="AB77"/>
  <c r="AB76"/>
  <c r="AB75"/>
  <c r="AB74"/>
  <c r="AB73"/>
  <c r="AB72"/>
  <c r="AB71"/>
  <c r="AB70"/>
  <c r="AB69"/>
  <c r="AB68"/>
  <c r="AB67"/>
  <c r="AB66"/>
  <c r="AB65"/>
  <c r="AB64"/>
  <c r="AB63"/>
  <c r="AB62"/>
  <c r="AB61"/>
  <c r="AB60"/>
  <c r="AB59"/>
  <c r="AB58"/>
  <c r="AB57"/>
  <c r="AB56"/>
  <c r="AB55"/>
  <c r="AB54"/>
  <c r="AC95"/>
  <c r="AC94"/>
  <c r="AC93"/>
  <c r="AC92"/>
  <c r="AC91"/>
  <c r="AC90"/>
  <c r="AC89"/>
  <c r="AC88"/>
  <c r="AC87"/>
  <c r="AC86"/>
  <c r="AC85"/>
  <c r="AC84"/>
  <c r="AC83"/>
  <c r="AC82"/>
  <c r="AC81"/>
  <c r="AC80"/>
  <c r="AC79"/>
  <c r="AC78"/>
  <c r="AC77"/>
  <c r="AC76"/>
  <c r="AC75"/>
  <c r="AC74"/>
  <c r="AC73"/>
  <c r="AC72"/>
  <c r="AC71"/>
  <c r="AC70"/>
  <c r="AC69"/>
  <c r="AC68"/>
  <c r="AC67"/>
  <c r="AC66"/>
  <c r="AC65"/>
  <c r="AC64"/>
  <c r="AC63"/>
  <c r="AC62"/>
  <c r="AC61"/>
  <c r="AC60"/>
  <c r="AC59"/>
  <c r="AC58"/>
  <c r="AC57"/>
  <c r="AC56"/>
  <c r="AC55"/>
  <c r="AC54"/>
  <c r="AD95"/>
  <c r="AD94"/>
  <c r="AD93"/>
  <c r="AD92"/>
  <c r="AD91"/>
  <c r="AD90"/>
  <c r="AD89"/>
  <c r="AD88"/>
  <c r="AD87"/>
  <c r="AD86"/>
  <c r="AD85"/>
  <c r="AD84"/>
  <c r="AD83"/>
  <c r="AD82"/>
  <c r="AD81"/>
  <c r="AD80"/>
  <c r="AD79"/>
  <c r="AD78"/>
  <c r="AD77"/>
  <c r="AD76"/>
  <c r="AD75"/>
  <c r="AD74"/>
  <c r="AD73"/>
  <c r="AD72"/>
  <c r="AD71"/>
  <c r="AD70"/>
  <c r="AD69"/>
  <c r="AD68"/>
  <c r="AD67"/>
  <c r="AD66"/>
  <c r="AD65"/>
  <c r="AD64"/>
  <c r="AD63"/>
  <c r="AD62"/>
  <c r="AD61"/>
  <c r="AD60"/>
  <c r="AD59"/>
  <c r="AD58"/>
  <c r="AD57"/>
  <c r="AD56"/>
  <c r="AD55"/>
  <c r="AD54"/>
  <c r="AE95"/>
  <c r="AE94"/>
  <c r="AE93"/>
  <c r="AE92"/>
  <c r="AE91"/>
  <c r="AE90"/>
  <c r="AE89"/>
  <c r="AE88"/>
  <c r="AE87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F95"/>
  <c r="AF94"/>
  <c r="AF93"/>
  <c r="AF92"/>
  <c r="AF91"/>
  <c r="AF90"/>
  <c r="AF89"/>
  <c r="AF88"/>
  <c r="AF87"/>
  <c r="AF86"/>
  <c r="AF85"/>
  <c r="AF84"/>
  <c r="AF83"/>
  <c r="AF82"/>
  <c r="AF81"/>
  <c r="AF80"/>
  <c r="AF79"/>
  <c r="AF78"/>
  <c r="AF77"/>
  <c r="AF76"/>
  <c r="AF75"/>
  <c r="AF74"/>
  <c r="AF73"/>
  <c r="AF72"/>
  <c r="AF71"/>
  <c r="AF70"/>
  <c r="AF69"/>
  <c r="AF68"/>
  <c r="AF67"/>
  <c r="AF66"/>
  <c r="AF65"/>
  <c r="AF64"/>
  <c r="AF63"/>
  <c r="AF62"/>
  <c r="AF61"/>
  <c r="AF60"/>
  <c r="AF59"/>
  <c r="AF58"/>
  <c r="AF57"/>
  <c r="AF56"/>
  <c r="AF55"/>
  <c r="AF54"/>
  <c r="AG95"/>
  <c r="AG94"/>
  <c r="AG93"/>
  <c r="AG92"/>
  <c r="AG91"/>
  <c r="AG90"/>
  <c r="AG89"/>
  <c r="AG88"/>
  <c r="AG87"/>
  <c r="AG86"/>
  <c r="AG85"/>
  <c r="AG84"/>
  <c r="AG83"/>
  <c r="AG82"/>
  <c r="AG81"/>
  <c r="AG80"/>
  <c r="AG79"/>
  <c r="AG78"/>
  <c r="AG77"/>
  <c r="AG76"/>
  <c r="AG75"/>
  <c r="AG74"/>
  <c r="AG73"/>
  <c r="AG72"/>
  <c r="AG71"/>
  <c r="AG70"/>
  <c r="AG69"/>
  <c r="AG68"/>
  <c r="AG67"/>
  <c r="AG66"/>
  <c r="AG65"/>
  <c r="AG64"/>
  <c r="AG63"/>
  <c r="AG62"/>
  <c r="AG61"/>
  <c r="AG60"/>
  <c r="AG59"/>
  <c r="AG58"/>
  <c r="AG57"/>
  <c r="AG56"/>
  <c r="AG55"/>
  <c r="AG54"/>
  <c r="AH95"/>
  <c r="AH94"/>
  <c r="AH93"/>
  <c r="AH92"/>
  <c r="AH91"/>
  <c r="AH90"/>
  <c r="AH89"/>
  <c r="AH88"/>
  <c r="AH87"/>
  <c r="AH86"/>
  <c r="AH85"/>
  <c r="AH84"/>
  <c r="AH83"/>
  <c r="AH82"/>
  <c r="AH81"/>
  <c r="AH80"/>
  <c r="AH79"/>
  <c r="AH78"/>
  <c r="AH77"/>
  <c r="AH76"/>
  <c r="AH75"/>
  <c r="AH74"/>
  <c r="AH73"/>
  <c r="AH72"/>
  <c r="AH71"/>
  <c r="AH70"/>
  <c r="AH69"/>
  <c r="AH68"/>
  <c r="AH67"/>
  <c r="AH66"/>
  <c r="AH65"/>
  <c r="AH64"/>
  <c r="AH63"/>
  <c r="AH62"/>
  <c r="AH61"/>
  <c r="AH60"/>
  <c r="AH59"/>
  <c r="AH58"/>
  <c r="AH57"/>
  <c r="AH56"/>
  <c r="AH55"/>
  <c r="AH54"/>
  <c r="AI95"/>
  <c r="AI94"/>
  <c r="AI93"/>
  <c r="AI92"/>
  <c r="AI91"/>
  <c r="AI90"/>
  <c r="AI89"/>
  <c r="AI88"/>
  <c r="AI87"/>
  <c r="AI86"/>
  <c r="AI85"/>
  <c r="AI84"/>
  <c r="AI83"/>
  <c r="AI82"/>
  <c r="AI81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AK73"/>
  <c r="AK72"/>
  <c r="AK71"/>
  <c r="AK70"/>
  <c r="AK69"/>
  <c r="AK68"/>
  <c r="AK67"/>
  <c r="AK66"/>
  <c r="AK65"/>
  <c r="AK64"/>
  <c r="AK63"/>
  <c r="AK62"/>
  <c r="AK61"/>
  <c r="AK60"/>
  <c r="AK59"/>
  <c r="AK58"/>
  <c r="AK57"/>
  <c r="AK56"/>
  <c r="AK55"/>
  <c r="AK54"/>
  <c r="AL95"/>
  <c r="AL94"/>
  <c r="AL93"/>
  <c r="AL92"/>
  <c r="AL91"/>
  <c r="AL90"/>
  <c r="AL89"/>
  <c r="AL88"/>
  <c r="AL87"/>
  <c r="AL86"/>
  <c r="AL85"/>
  <c r="AL84"/>
  <c r="AL83"/>
  <c r="AL82"/>
  <c r="AL81"/>
  <c r="AL80"/>
  <c r="AL79"/>
  <c r="AL78"/>
  <c r="AL77"/>
  <c r="AL76"/>
  <c r="AL75"/>
  <c r="AL74"/>
  <c r="AL73"/>
  <c r="AL72"/>
  <c r="AL71"/>
  <c r="AL70"/>
  <c r="AL69"/>
  <c r="AL68"/>
  <c r="AL67"/>
  <c r="AL66"/>
  <c r="AL65"/>
  <c r="AL64"/>
  <c r="AL63"/>
  <c r="AL62"/>
  <c r="AL61"/>
  <c r="AL60"/>
  <c r="AL59"/>
  <c r="AL58"/>
  <c r="AL57"/>
  <c r="AL56"/>
  <c r="AL55"/>
  <c r="AL54"/>
  <c r="AM95"/>
  <c r="AM94"/>
  <c r="AM93"/>
  <c r="AM92"/>
  <c r="AM91"/>
  <c r="AM90"/>
  <c r="AM89"/>
  <c r="AM88"/>
  <c r="AM87"/>
  <c r="AM86"/>
  <c r="AM85"/>
  <c r="AM84"/>
  <c r="AM83"/>
  <c r="AM82"/>
  <c r="AM81"/>
  <c r="AM80"/>
  <c r="AM79"/>
  <c r="AM78"/>
  <c r="AM77"/>
  <c r="AM76"/>
  <c r="AM75"/>
  <c r="AM74"/>
  <c r="AM73"/>
  <c r="AM72"/>
  <c r="AM71"/>
  <c r="AM70"/>
  <c r="AM69"/>
  <c r="AM68"/>
  <c r="AM67"/>
  <c r="AM66"/>
  <c r="AM65"/>
  <c r="AM64"/>
  <c r="AM63"/>
  <c r="AM62"/>
  <c r="AM61"/>
  <c r="AM60"/>
  <c r="AM59"/>
  <c r="AM58"/>
  <c r="AM57"/>
  <c r="AM56"/>
  <c r="AM55"/>
  <c r="AM54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G17"/>
  <c r="H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H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H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H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H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H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H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H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N45" l="1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H45"/>
  <c r="G45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H44"/>
  <c r="G44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H43"/>
  <c r="G43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H42"/>
  <c r="G42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H41"/>
  <c r="G41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H40"/>
  <c r="G40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H39"/>
  <c r="G39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H38"/>
  <c r="G38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H37"/>
  <c r="G37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H36"/>
  <c r="G36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H35"/>
  <c r="G35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H34"/>
  <c r="G34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H33"/>
  <c r="G33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H32"/>
  <c r="G32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H31"/>
  <c r="G31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H30"/>
  <c r="G30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H29"/>
  <c r="G29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H28"/>
  <c r="G28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H27"/>
  <c r="G27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H26"/>
  <c r="G26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H25"/>
  <c r="G25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H24"/>
  <c r="G24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H23"/>
  <c r="G23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H22"/>
  <c r="G22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H21"/>
  <c r="G21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H20"/>
  <c r="G20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H19"/>
  <c r="G19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H18"/>
  <c r="G18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H16"/>
  <c r="G16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H15"/>
  <c r="G15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H14"/>
  <c r="G14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H13"/>
  <c r="G13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H12"/>
  <c r="G12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H11"/>
  <c r="G11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H10"/>
  <c r="G10"/>
  <c r="L5" l="1"/>
  <c r="L5" i="9" s="1"/>
  <c r="P5" i="8"/>
  <c r="P5" i="9" s="1"/>
  <c r="T5" i="8"/>
  <c r="T5" i="9" s="1"/>
  <c r="X5" i="8"/>
  <c r="X5" i="9" s="1"/>
  <c r="AB5" i="8"/>
  <c r="AB5" i="9" s="1"/>
  <c r="AF5" i="8"/>
  <c r="AF5" i="9" s="1"/>
  <c r="AJ5" i="8"/>
  <c r="AJ5" i="9" s="1"/>
  <c r="AN5" i="8"/>
  <c r="AN5" i="9" s="1"/>
  <c r="O5" i="8"/>
  <c r="O5" i="9" s="1"/>
  <c r="W5" i="8"/>
  <c r="W5" i="9" s="1"/>
  <c r="AE5" i="8"/>
  <c r="AE5" i="9" s="1"/>
  <c r="AM5" i="8"/>
  <c r="AM5" i="9" s="1"/>
  <c r="J5" i="8"/>
  <c r="J5" i="9" s="1"/>
  <c r="J3" s="1"/>
  <c r="N5" i="8"/>
  <c r="N5" i="9" s="1"/>
  <c r="R5" i="8"/>
  <c r="R5" i="9" s="1"/>
  <c r="V5" i="8"/>
  <c r="V5" i="9" s="1"/>
  <c r="Z5" i="8"/>
  <c r="Z5" i="9" s="1"/>
  <c r="AD5" i="8"/>
  <c r="AD5" i="9" s="1"/>
  <c r="AH5" i="8"/>
  <c r="AH5" i="9" s="1"/>
  <c r="AL5" i="8"/>
  <c r="AL5" i="9" s="1"/>
  <c r="K5" i="8"/>
  <c r="K5" i="9" s="1"/>
  <c r="S5" i="8"/>
  <c r="S5" i="9" s="1"/>
  <c r="AA5" i="8"/>
  <c r="AA5" i="9" s="1"/>
  <c r="AI5" i="8"/>
  <c r="AI5" i="9" s="1"/>
  <c r="H7" i="8"/>
  <c r="M5"/>
  <c r="M5" i="9" s="1"/>
  <c r="Q5" i="8"/>
  <c r="Q5" i="9" s="1"/>
  <c r="U5" i="8"/>
  <c r="U5" i="9" s="1"/>
  <c r="Y5" i="8"/>
  <c r="Y5" i="9" s="1"/>
  <c r="AC5" i="8"/>
  <c r="AC5" i="9" s="1"/>
  <c r="AG5" i="8"/>
  <c r="AG5" i="9" s="1"/>
  <c r="AK5" i="8"/>
  <c r="AK5" i="9" s="1"/>
  <c r="K3" l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G3" s="1"/>
  <c r="AH3" s="1"/>
  <c r="AI3" s="1"/>
  <c r="AJ3" s="1"/>
  <c r="AK3" s="1"/>
  <c r="AL3" s="1"/>
  <c r="AM3" s="1"/>
  <c r="AN3" s="1"/>
  <c r="F2" i="3"/>
  <c r="E2"/>
  <c r="AC16" i="2"/>
  <c r="AB16"/>
  <c r="AD16" s="1"/>
  <c r="AN1" s="1"/>
  <c r="AW15"/>
  <c r="AV15"/>
  <c r="AT15"/>
  <c r="AS15"/>
  <c r="AQ15"/>
  <c r="AP15"/>
  <c r="AO15"/>
  <c r="AW14"/>
  <c r="AV14"/>
  <c r="AT14"/>
  <c r="AS14"/>
  <c r="AP14"/>
  <c r="AO14"/>
  <c r="AA14"/>
  <c r="AQ14" s="1"/>
  <c r="AW13"/>
  <c r="AV13"/>
  <c r="AT13"/>
  <c r="AS13"/>
  <c r="AP13"/>
  <c r="AO13"/>
  <c r="AA13"/>
  <c r="AQ13" s="1"/>
  <c r="AW12"/>
  <c r="AV12"/>
  <c r="AT12"/>
  <c r="AS12"/>
  <c r="AP12"/>
  <c r="AO12"/>
  <c r="AA12"/>
  <c r="AQ12" s="1"/>
  <c r="AW11"/>
  <c r="AV11"/>
  <c r="AT11"/>
  <c r="AS11"/>
  <c r="AP11"/>
  <c r="AO11"/>
  <c r="AA11"/>
  <c r="AQ11" s="1"/>
  <c r="AW10"/>
  <c r="AV10"/>
  <c r="AT10"/>
  <c r="AS10"/>
  <c r="AP10"/>
  <c r="AO10"/>
  <c r="AA10"/>
  <c r="AQ10" s="1"/>
  <c r="AW9"/>
  <c r="AV9"/>
  <c r="AT9"/>
  <c r="AS9"/>
  <c r="AP9"/>
  <c r="AO9"/>
  <c r="AA9"/>
  <c r="AQ9" s="1"/>
  <c r="AW8"/>
  <c r="AV8"/>
  <c r="AT8"/>
  <c r="AS8"/>
  <c r="AP8"/>
  <c r="AO8"/>
  <c r="AA8"/>
  <c r="AQ8" s="1"/>
  <c r="AW7"/>
  <c r="AV7"/>
  <c r="AT7"/>
  <c r="AS7"/>
  <c r="AP7"/>
  <c r="AO7"/>
  <c r="AA7"/>
  <c r="AQ7" s="1"/>
  <c r="AW6"/>
  <c r="AV6"/>
  <c r="AT6"/>
  <c r="AS6"/>
  <c r="AP6"/>
  <c r="AO6"/>
  <c r="AA6"/>
  <c r="AQ6" s="1"/>
  <c r="AW5"/>
  <c r="AV5"/>
  <c r="AT5"/>
  <c r="AS5"/>
  <c r="AP5"/>
  <c r="AO5"/>
  <c r="AA5"/>
  <c r="AQ5" s="1"/>
  <c r="AW4"/>
  <c r="AV4"/>
  <c r="AT4"/>
  <c r="AS4"/>
  <c r="AP4"/>
  <c r="AO4"/>
  <c r="AA4"/>
  <c r="AQ4" s="1"/>
  <c r="AW3"/>
  <c r="AV3"/>
  <c r="AT3"/>
  <c r="AS3"/>
  <c r="AQ3"/>
  <c r="AP3"/>
  <c r="AO3"/>
  <c r="F2"/>
  <c r="E2"/>
  <c r="G2" l="1"/>
  <c r="G2" i="3"/>
</calcChain>
</file>

<file path=xl/sharedStrings.xml><?xml version="1.0" encoding="utf-8"?>
<sst xmlns="http://schemas.openxmlformats.org/spreadsheetml/2006/main" count="1322" uniqueCount="1105">
  <si>
    <t>НАЛОГ ЗА КЊИЖЕЊЕ БР:</t>
  </si>
  <si>
    <t/>
  </si>
  <si>
    <t>Датум:</t>
  </si>
  <si>
    <t>Nalog</t>
  </si>
  <si>
    <t>Datum</t>
  </si>
  <si>
    <t>S A D  R @ A J</t>
  </si>
  <si>
    <t>Duguje</t>
  </si>
  <si>
    <t>Potra`uje</t>
  </si>
  <si>
    <t>Ra~un</t>
  </si>
  <si>
    <t>Konto</t>
  </si>
  <si>
    <t>ОСНОВ КЊИЖЕЊА</t>
  </si>
  <si>
    <t>Дугује</t>
  </si>
  <si>
    <t>Потражује</t>
  </si>
  <si>
    <t>Конто</t>
  </si>
  <si>
    <t>Бр.рачуна</t>
  </si>
  <si>
    <t>Конто:</t>
  </si>
  <si>
    <t>Назив:</t>
  </si>
  <si>
    <t>Налог</t>
  </si>
  <si>
    <t>Датум</t>
  </si>
  <si>
    <t>САДРЖАЈ</t>
  </si>
  <si>
    <t>Салдо</t>
  </si>
  <si>
    <t>Рачун</t>
  </si>
  <si>
    <t>ДНЕВНИК:</t>
  </si>
  <si>
    <t>С А Д Р Ж А Ј</t>
  </si>
  <si>
    <t>БАЗА КОМИТЕНАТА</t>
  </si>
  <si>
    <t>Назив</t>
  </si>
  <si>
    <t>Град</t>
  </si>
  <si>
    <t>Адреса</t>
  </si>
  <si>
    <t>Текући рачун</t>
  </si>
  <si>
    <t>Телефон</t>
  </si>
  <si>
    <t>Телефакс</t>
  </si>
  <si>
    <t>Особа за контакт</t>
  </si>
  <si>
    <t>700</t>
  </si>
  <si>
    <t>АДРЕСА:</t>
  </si>
  <si>
    <t>x</t>
  </si>
  <si>
    <t>БРУТО СТАЊЕ НА ДАН:</t>
  </si>
  <si>
    <t>ПРОМЕТ</t>
  </si>
  <si>
    <t>САЛДО</t>
  </si>
  <si>
    <t>Н А З И В  К О Н Т А</t>
  </si>
  <si>
    <t>ДУГУЈЕ</t>
  </si>
  <si>
    <t>ПОТРАЖУЈЕ</t>
  </si>
  <si>
    <t>-ДУГУЈЕ-</t>
  </si>
  <si>
    <t>-ПОТРАЖУЈЕ-</t>
  </si>
  <si>
    <t>0*</t>
  </si>
  <si>
    <t>НЕУПЛАЋЕНИ УПИСАНИ КАПИТАЛ И СТАЛНА ИМОВИНА</t>
  </si>
  <si>
    <t>1*</t>
  </si>
  <si>
    <t>ЗАЛИХЕ</t>
  </si>
  <si>
    <t>2*</t>
  </si>
  <si>
    <t>КРАТКОРОЧНА ПОТРАЖИВАЊА, ПЛАСМАНИ И ГОТОВИНА</t>
  </si>
  <si>
    <t>3*</t>
  </si>
  <si>
    <t>КАПИТАЛ</t>
  </si>
  <si>
    <t>4*</t>
  </si>
  <si>
    <t>ДУГОРОЧНА РЕЗЕРВИСАЊА И ОБАВЕЗЕ</t>
  </si>
  <si>
    <t>5*</t>
  </si>
  <si>
    <t>РАСХОДИ</t>
  </si>
  <si>
    <t>6*</t>
  </si>
  <si>
    <t>ПРИХОДИ</t>
  </si>
  <si>
    <t>7*</t>
  </si>
  <si>
    <t>ОТВАРАЊЕ И ЗАКЉУЧАК РАЧУНА СТАЊА И РАЧУНА УСПЕХА</t>
  </si>
  <si>
    <t>8*</t>
  </si>
  <si>
    <t>ВАНБИЛАНСНА ЕВИДЕНЦИЈА</t>
  </si>
  <si>
    <t>9*</t>
  </si>
  <si>
    <t>ОБРАЧУН ТРОШКОВА И УЧИНАКА</t>
  </si>
  <si>
    <t>02</t>
  </si>
  <si>
    <t>023</t>
  </si>
  <si>
    <t>Постројења и опрема</t>
  </si>
  <si>
    <t>10</t>
  </si>
  <si>
    <t>101</t>
  </si>
  <si>
    <t>Материјал</t>
  </si>
  <si>
    <t>103</t>
  </si>
  <si>
    <t>11</t>
  </si>
  <si>
    <t>110</t>
  </si>
  <si>
    <t>Недовршена производња</t>
  </si>
  <si>
    <t>12</t>
  </si>
  <si>
    <t>ГОТОВИ ПРОИЗВОДИ</t>
  </si>
  <si>
    <t>120</t>
  </si>
  <si>
    <t>13</t>
  </si>
  <si>
    <t>132</t>
  </si>
  <si>
    <t>Роба у промету на велико</t>
  </si>
  <si>
    <t>15</t>
  </si>
  <si>
    <t>150</t>
  </si>
  <si>
    <t>20</t>
  </si>
  <si>
    <t>202</t>
  </si>
  <si>
    <t>Купци у земљи</t>
  </si>
  <si>
    <t>203</t>
  </si>
  <si>
    <t>Купци у иностранству</t>
  </si>
  <si>
    <t>22</t>
  </si>
  <si>
    <t>223</t>
  </si>
  <si>
    <t>228</t>
  </si>
  <si>
    <t>24</t>
  </si>
  <si>
    <t>241</t>
  </si>
  <si>
    <t>Текући (пословни) рачуни</t>
  </si>
  <si>
    <t>243</t>
  </si>
  <si>
    <t>Благајна</t>
  </si>
  <si>
    <t>244</t>
  </si>
  <si>
    <t>Девизни рачун</t>
  </si>
  <si>
    <t>30</t>
  </si>
  <si>
    <t>301</t>
  </si>
  <si>
    <t>32</t>
  </si>
  <si>
    <t>РЕЗЕРВЕ</t>
  </si>
  <si>
    <t>321</t>
  </si>
  <si>
    <t>Законске резерве</t>
  </si>
  <si>
    <t>33</t>
  </si>
  <si>
    <t>330</t>
  </si>
  <si>
    <t>34</t>
  </si>
  <si>
    <t>340</t>
  </si>
  <si>
    <t>43</t>
  </si>
  <si>
    <t>430</t>
  </si>
  <si>
    <t>Примљени аванси, депозити и кауције</t>
  </si>
  <si>
    <t>433</t>
  </si>
  <si>
    <t>Добављачи у земљи</t>
  </si>
  <si>
    <t>434</t>
  </si>
  <si>
    <t>Добављачи у иностранству</t>
  </si>
  <si>
    <t>45</t>
  </si>
  <si>
    <t>450</t>
  </si>
  <si>
    <t>Обавезе за нето зараде и накнаде зарада, осим накнада зарада које се рефундирају</t>
  </si>
  <si>
    <t>451</t>
  </si>
  <si>
    <t>Обавезе за порез на зараде и накнаде зарада на терет запосленог</t>
  </si>
  <si>
    <t>452</t>
  </si>
  <si>
    <t>Обавезе за доприносе на зараде и накнаде зарада на терет запосленог</t>
  </si>
  <si>
    <t>453</t>
  </si>
  <si>
    <t>Обавезе за порезе и доприносе на зараде и накнаде зарада на терет послодавца</t>
  </si>
  <si>
    <t>46</t>
  </si>
  <si>
    <t>466</t>
  </si>
  <si>
    <t>Обавезе за нето приход предузетника који аконтацију подиже у току године</t>
  </si>
  <si>
    <t>469</t>
  </si>
  <si>
    <t>Остале обавезе</t>
  </si>
  <si>
    <t>48</t>
  </si>
  <si>
    <t>480</t>
  </si>
  <si>
    <t>481</t>
  </si>
  <si>
    <t>Обавезе за порез из резултата</t>
  </si>
  <si>
    <t>482</t>
  </si>
  <si>
    <t>Обавезе за порезе, царине и друге дажбине из набавке или на терет трошкова</t>
  </si>
  <si>
    <t>50</t>
  </si>
  <si>
    <t>501</t>
  </si>
  <si>
    <t>Набавна вредност продате робе</t>
  </si>
  <si>
    <t>51</t>
  </si>
  <si>
    <t>510</t>
  </si>
  <si>
    <t>Набавка материјала</t>
  </si>
  <si>
    <t>511</t>
  </si>
  <si>
    <t>Трошкови материјала за израду</t>
  </si>
  <si>
    <t>512</t>
  </si>
  <si>
    <t>Трошкови осталог материјала (режијског)</t>
  </si>
  <si>
    <t>513</t>
  </si>
  <si>
    <t>Трошкови горива и енергије</t>
  </si>
  <si>
    <t>52</t>
  </si>
  <si>
    <t>520</t>
  </si>
  <si>
    <t>Трошкови зарада и накнада зарада (бруто)</t>
  </si>
  <si>
    <t>521</t>
  </si>
  <si>
    <t>Трошкови пореза и доприноса на зараде и накнаде зарада на терет послодавца</t>
  </si>
  <si>
    <t>522</t>
  </si>
  <si>
    <t>Трошкови накнада по уговору о делу</t>
  </si>
  <si>
    <t>523</t>
  </si>
  <si>
    <t>Трошкови накнада по ауторским уговорима</t>
  </si>
  <si>
    <t>529</t>
  </si>
  <si>
    <t>Остали лични расходи и накнаде</t>
  </si>
  <si>
    <t>53</t>
  </si>
  <si>
    <t>530</t>
  </si>
  <si>
    <t>Трошкови услуга на изради учинака</t>
  </si>
  <si>
    <t>531</t>
  </si>
  <si>
    <t>Трошкови транспортних услуга</t>
  </si>
  <si>
    <t>532</t>
  </si>
  <si>
    <t>Трошкови услуга одржавања</t>
  </si>
  <si>
    <t>534</t>
  </si>
  <si>
    <t>Трошкови сајмова</t>
  </si>
  <si>
    <t>539</t>
  </si>
  <si>
    <t>Трошкови осталих услуга</t>
  </si>
  <si>
    <t>55</t>
  </si>
  <si>
    <t>550</t>
  </si>
  <si>
    <t>Трошкови непроизводних услуга</t>
  </si>
  <si>
    <t>553</t>
  </si>
  <si>
    <t>Трошкови платног промета</t>
  </si>
  <si>
    <t>554</t>
  </si>
  <si>
    <t>555</t>
  </si>
  <si>
    <t>Трошкови пореза</t>
  </si>
  <si>
    <t>556</t>
  </si>
  <si>
    <t>Трошкови доприноса</t>
  </si>
  <si>
    <t>559</t>
  </si>
  <si>
    <t>Остали нематеријални трошкови</t>
  </si>
  <si>
    <t>56</t>
  </si>
  <si>
    <t>562</t>
  </si>
  <si>
    <t>563</t>
  </si>
  <si>
    <t>569</t>
  </si>
  <si>
    <t>57</t>
  </si>
  <si>
    <t>579</t>
  </si>
  <si>
    <t>Остали непоменути расходи</t>
  </si>
  <si>
    <t>60</t>
  </si>
  <si>
    <t>602</t>
  </si>
  <si>
    <t>Приходи од продаје робе на домаћем тржишту</t>
  </si>
  <si>
    <t>603</t>
  </si>
  <si>
    <t>Приходи од продаје робе на иностраном тржишту</t>
  </si>
  <si>
    <t>61</t>
  </si>
  <si>
    <t>612</t>
  </si>
  <si>
    <t>613</t>
  </si>
  <si>
    <t>Приходи од продаје производа и услуга на иностраном тржишту</t>
  </si>
  <si>
    <t>66</t>
  </si>
  <si>
    <t>662</t>
  </si>
  <si>
    <t>663</t>
  </si>
  <si>
    <t>Позитивне курсне разлике</t>
  </si>
  <si>
    <t>67</t>
  </si>
  <si>
    <t>679</t>
  </si>
  <si>
    <t>Остали непоменути приходи</t>
  </si>
  <si>
    <t>70</t>
  </si>
  <si>
    <t>Criteria</t>
  </si>
  <si>
    <t>{windowsoff}{paneloff}/ai~dcbgqofrqcry55~g27~qubqzsq/wgzy/wgrm</t>
  </si>
  <si>
    <t>{CALC}/fs~r</t>
  </si>
  <si>
    <t>/WGPD{GOTO}A11~{END}{D}{U}/WIR~{D}/C{D}{END}{R}{U}~{U}~{U 4}/ai~sca15..aq15~.{end}{d}{u}~/WGPE</t>
  </si>
  <si>
    <t>/WGPD{GOTO}A11~{END}{D}{U}{U}/WDR~/WGPE</t>
  </si>
  <si>
    <t>{CALC}{GOTO}A5~/PPCAOMNH@~QRA5..J10~R</t>
  </si>
  <si>
    <t>{GOTO}a11~/DSRD.{U}{END}{D}{R 7}~PH11~A~SK11~A~G{CALC}</t>
  </si>
  <si>
    <t>{getlabel "UNESITE KLJUC ZA NALAZENJE BROJA RACUNA: ".T2}~/dqf</t>
  </si>
  <si>
    <t>:Broj racuna:</t>
  </si>
  <si>
    <t>||\014</t>
  </si>
  <si>
    <t>234*</t>
  </si>
  <si>
    <t>УКУПАН ОЧЕКИВАНИ ПРИЛИВ</t>
  </si>
  <si>
    <t>БАЗА ПОДАТАКА О НЕНАПЛАЋЕНИМ ПОТРАЖИВАЊИМА</t>
  </si>
  <si>
    <t>Р. број дана</t>
  </si>
  <si>
    <t>НА ДАН:</t>
  </si>
  <si>
    <t>Основ прилива</t>
  </si>
  <si>
    <t>Износ</t>
  </si>
  <si>
    <t>Валута</t>
  </si>
  <si>
    <t>Упл.</t>
  </si>
  <si>
    <t>Касни</t>
  </si>
  <si>
    <t>УКУПАН ДУГ</t>
  </si>
  <si>
    <t>НОВАЦ НА ТЕКУЋЕМ РАЧУНУ</t>
  </si>
  <si>
    <t>ОЧЕКИВАНА ЛИКВИДНОСТ</t>
  </si>
  <si>
    <t>УКУПАН ОЧЕКИВАНИ ОДЛИВ</t>
  </si>
  <si>
    <t>БАЗА ПОДАТАКА О НЕПЛАЋЕНИМ ДУГОВАЊИМА</t>
  </si>
  <si>
    <t>Р.број дана</t>
  </si>
  <si>
    <t>uliv</t>
  </si>
  <si>
    <t>odliv</t>
  </si>
  <si>
    <t>Основ одлива</t>
  </si>
  <si>
    <t>Испл.</t>
  </si>
  <si>
    <t>00</t>
  </si>
  <si>
    <t>000</t>
  </si>
  <si>
    <t>001</t>
  </si>
  <si>
    <t>01</t>
  </si>
  <si>
    <t>010</t>
  </si>
  <si>
    <t>Улагања у развој</t>
  </si>
  <si>
    <t>011</t>
  </si>
  <si>
    <t>012</t>
  </si>
  <si>
    <t>014</t>
  </si>
  <si>
    <t>015</t>
  </si>
  <si>
    <t>016</t>
  </si>
  <si>
    <t>020</t>
  </si>
  <si>
    <t>021</t>
  </si>
  <si>
    <t>022</t>
  </si>
  <si>
    <t>Грађевински објекти</t>
  </si>
  <si>
    <t>024</t>
  </si>
  <si>
    <t>Инвестиционе некретнине</t>
  </si>
  <si>
    <t>025</t>
  </si>
  <si>
    <t>Основно стадо</t>
  </si>
  <si>
    <t>026</t>
  </si>
  <si>
    <t>Остале некретнине, постројења и опрема</t>
  </si>
  <si>
    <t>027</t>
  </si>
  <si>
    <t>028</t>
  </si>
  <si>
    <t>029</t>
  </si>
  <si>
    <t>Улагања на туђим некретнинама, постројењима и опреми</t>
  </si>
  <si>
    <t>03</t>
  </si>
  <si>
    <t>030</t>
  </si>
  <si>
    <t>Учешћа у капиталу зависних правних лица</t>
  </si>
  <si>
    <t>031</t>
  </si>
  <si>
    <t>032</t>
  </si>
  <si>
    <t>Хартије од вредности које се држе до доспећа</t>
  </si>
  <si>
    <t>037</t>
  </si>
  <si>
    <t>038</t>
  </si>
  <si>
    <t>039</t>
  </si>
  <si>
    <t>Исправка вредности дугорочних финансијских пласмана</t>
  </si>
  <si>
    <t>100</t>
  </si>
  <si>
    <t>102</t>
  </si>
  <si>
    <t>Резервни делови</t>
  </si>
  <si>
    <t>109</t>
  </si>
  <si>
    <t>111</t>
  </si>
  <si>
    <t>Недовршене услуге</t>
  </si>
  <si>
    <t>130</t>
  </si>
  <si>
    <t>Обрачун набавке робе</t>
  </si>
  <si>
    <t>131</t>
  </si>
  <si>
    <t>Роба у магацину</t>
  </si>
  <si>
    <t>133</t>
  </si>
  <si>
    <t>134</t>
  </si>
  <si>
    <t>Роба у промету на мало</t>
  </si>
  <si>
    <t>135</t>
  </si>
  <si>
    <t>Роба у обради, доради и манипулацији</t>
  </si>
  <si>
    <t>136</t>
  </si>
  <si>
    <t>Роба у транзиту</t>
  </si>
  <si>
    <t>137</t>
  </si>
  <si>
    <t>Роба на путу</t>
  </si>
  <si>
    <t>139</t>
  </si>
  <si>
    <t>Исправка вредности робе</t>
  </si>
  <si>
    <t>14</t>
  </si>
  <si>
    <t>СТАЛНА СРЕДСТВА НАМЕЊЕНА ПРОДАЈИ</t>
  </si>
  <si>
    <t>140</t>
  </si>
  <si>
    <t>Нематеријална улагања намењена продаји</t>
  </si>
  <si>
    <t>141</t>
  </si>
  <si>
    <t>Земљиште намењено продаји</t>
  </si>
  <si>
    <t>142</t>
  </si>
  <si>
    <t>Грађевински објекти намењени продаји</t>
  </si>
  <si>
    <t>143</t>
  </si>
  <si>
    <t>Инвестиционе некретнине намењене продаји</t>
  </si>
  <si>
    <t>144</t>
  </si>
  <si>
    <t>Остале некретнине намењене продаји</t>
  </si>
  <si>
    <t>145</t>
  </si>
  <si>
    <t>Постројења и опрема намењена продаји</t>
  </si>
  <si>
    <t>146</t>
  </si>
  <si>
    <t>Биолошка средства намењена продаји</t>
  </si>
  <si>
    <t>147</t>
  </si>
  <si>
    <t>Средства пословања које се обуставља</t>
  </si>
  <si>
    <t>149</t>
  </si>
  <si>
    <t>159</t>
  </si>
  <si>
    <t>200</t>
  </si>
  <si>
    <t>201</t>
  </si>
  <si>
    <t>209</t>
  </si>
  <si>
    <t>21</t>
  </si>
  <si>
    <t>210</t>
  </si>
  <si>
    <t>Потраживања од извозника</t>
  </si>
  <si>
    <t>211</t>
  </si>
  <si>
    <t>212</t>
  </si>
  <si>
    <t>218</t>
  </si>
  <si>
    <t>Остала потраживања из специфичних послова</t>
  </si>
  <si>
    <t>219</t>
  </si>
  <si>
    <t>Исправка вредности потраживања из специфичних послова</t>
  </si>
  <si>
    <t>220</t>
  </si>
  <si>
    <t>Потраживања за камату и дивиденде</t>
  </si>
  <si>
    <t>221</t>
  </si>
  <si>
    <t>Потраживања од запослених</t>
  </si>
  <si>
    <t>222</t>
  </si>
  <si>
    <t>Потраживања од државних органа и организација</t>
  </si>
  <si>
    <t>224</t>
  </si>
  <si>
    <t>Потраживања по основу преплаћених осталих пореза и доприноса</t>
  </si>
  <si>
    <t>229</t>
  </si>
  <si>
    <t>Исправка вредности других потраживања</t>
  </si>
  <si>
    <t>23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</si>
  <si>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</si>
  <si>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</si>
  <si>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</si>
  <si>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</si>
  <si>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</si>
  <si>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</si>
  <si>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</si>
  <si>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</si>
  <si>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</si>
  <si>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Остали краткорочни финансијски пласмани</t>
  </si>
  <si>
    <t>239</t>
  </si>
  <si>
    <t>Исправка вредности краткорочних финансијских пласмана</t>
  </si>
  <si>
    <t>240</t>
  </si>
  <si>
    <t>242</t>
  </si>
  <si>
    <t>Издвојена новчана средства и акредитиви</t>
  </si>
  <si>
    <t>245</t>
  </si>
  <si>
    <t>Девизни акредитиви</t>
  </si>
  <si>
    <t>246</t>
  </si>
  <si>
    <t>Девизна благајна</t>
  </si>
  <si>
    <t>248</t>
  </si>
  <si>
    <t>Остала новчана средства</t>
  </si>
  <si>
    <t>249</t>
  </si>
  <si>
    <t>Новчана средства чије је коришћење ограничено или вредност умањена</t>
  </si>
  <si>
    <t>27</t>
  </si>
  <si>
    <t>270</t>
  </si>
  <si>
    <t>Порез на додату вредност у примљеним фактурама по општој стопи (осим плаћених аванса)</t>
  </si>
  <si>
    <t>271</t>
  </si>
  <si>
    <t>Порез на додату вредност у примљеним фактурама по посебној стопи (осим плаћених аванса)</t>
  </si>
  <si>
    <t>272</t>
  </si>
  <si>
    <t>Порез на додату вредност у датим авансима по општој стопи</t>
  </si>
  <si>
    <t>273</t>
  </si>
  <si>
    <t>Порез на додату вредност у датим авансима по посебној стопи</t>
  </si>
  <si>
    <t>274</t>
  </si>
  <si>
    <t>Порез на додату вредност плаћен при увозу добара по општој стопи</t>
  </si>
  <si>
    <t>275</t>
  </si>
  <si>
    <t>Порез на додату вредност плаћен при увозу добара по посебној стопи</t>
  </si>
  <si>
    <t>276</t>
  </si>
  <si>
    <t>Порез на додату вредност обрачунат на услуге иностраних лица</t>
  </si>
  <si>
    <t>277</t>
  </si>
  <si>
    <t>279</t>
  </si>
  <si>
    <t>Унапред плаћени трошкови</t>
  </si>
  <si>
    <t>Разграничени трошкови по основу обавеза</t>
  </si>
  <si>
    <t>Одложена пореска средства</t>
  </si>
  <si>
    <t>Остала активна временска разграничења</t>
  </si>
  <si>
    <t>29</t>
  </si>
  <si>
    <t>290</t>
  </si>
  <si>
    <t>Губитак изнад висине капитала</t>
  </si>
  <si>
    <t>300</t>
  </si>
  <si>
    <t>302</t>
  </si>
  <si>
    <t>Улози</t>
  </si>
  <si>
    <t>303</t>
  </si>
  <si>
    <t>Државни капитал</t>
  </si>
  <si>
    <t>304</t>
  </si>
  <si>
    <t>Друштвени капитал</t>
  </si>
  <si>
    <t>305</t>
  </si>
  <si>
    <t>Задружни удели</t>
  </si>
  <si>
    <t>309</t>
  </si>
  <si>
    <t>31</t>
  </si>
  <si>
    <t>310</t>
  </si>
  <si>
    <t>311</t>
  </si>
  <si>
    <t>Емисиона премија</t>
  </si>
  <si>
    <t>322</t>
  </si>
  <si>
    <t>Статутарне и друге резерве</t>
  </si>
  <si>
    <t>331</t>
  </si>
  <si>
    <t>341</t>
  </si>
  <si>
    <t>35</t>
  </si>
  <si>
    <t>350</t>
  </si>
  <si>
    <t>Губитак ранијих година</t>
  </si>
  <si>
    <t>351</t>
  </si>
  <si>
    <t>Губитак текуће године</t>
  </si>
  <si>
    <t>40</t>
  </si>
  <si>
    <t>400</t>
  </si>
  <si>
    <t>Резервисања за трошкове у гарантном року</t>
  </si>
  <si>
    <t>401</t>
  </si>
  <si>
    <t>402</t>
  </si>
  <si>
    <t>Резервисања за задржане кауције и депозите</t>
  </si>
  <si>
    <t>403</t>
  </si>
  <si>
    <t>404</t>
  </si>
  <si>
    <t>Резервисања за накнаде и друге бенефиције запослених</t>
  </si>
  <si>
    <t>409</t>
  </si>
  <si>
    <t>Остала дугорочна резервисања</t>
  </si>
  <si>
    <t>41</t>
  </si>
  <si>
    <t>410</t>
  </si>
  <si>
    <t>Обавезе које се могу конвертовати у капитал</t>
  </si>
  <si>
    <t>411</t>
  </si>
  <si>
    <t>Обавезе према матичним и зависним правним лицима</t>
  </si>
  <si>
    <t>412</t>
  </si>
  <si>
    <t>Обавезе према осталим повезаним правним лицима</t>
  </si>
  <si>
    <t>413</t>
  </si>
  <si>
    <t>414</t>
  </si>
  <si>
    <t>415</t>
  </si>
  <si>
    <t>419</t>
  </si>
  <si>
    <t>Остале дугорочне обавезе</t>
  </si>
  <si>
    <t>42</t>
  </si>
  <si>
    <t>420</t>
  </si>
  <si>
    <t>Краткорочни кредити од матичних и зависних правних лица</t>
  </si>
  <si>
    <t>421</t>
  </si>
  <si>
    <t>Краткорочни кредити од осталих повезаних правних лица</t>
  </si>
  <si>
    <t>422</t>
  </si>
  <si>
    <t>423</t>
  </si>
  <si>
    <t>424</t>
  </si>
  <si>
    <t>425</t>
  </si>
  <si>
    <t>426</t>
  </si>
  <si>
    <t>Обавезе по краткорочним хартијама од вредности</t>
  </si>
  <si>
    <t>427</t>
  </si>
  <si>
    <t>Обавезе по основу сталних средстава и средстава обустављеног пословања намењених продаји</t>
  </si>
  <si>
    <t>429</t>
  </si>
  <si>
    <t>431</t>
  </si>
  <si>
    <t>432</t>
  </si>
  <si>
    <t>439</t>
  </si>
  <si>
    <t>Остале обавезе из пословања</t>
  </si>
  <si>
    <t>44</t>
  </si>
  <si>
    <t>440</t>
  </si>
  <si>
    <t>Обавезе према увознику</t>
  </si>
  <si>
    <t>441</t>
  </si>
  <si>
    <t>Обавезе по основу извоза за туђ рачун</t>
  </si>
  <si>
    <t>442</t>
  </si>
  <si>
    <t>Обавезе по основу комисионе и консигнационе продаје</t>
  </si>
  <si>
    <t>449</t>
  </si>
  <si>
    <t>Остале обавезе из специфичних послова</t>
  </si>
  <si>
    <t>454</t>
  </si>
  <si>
    <t>Обавезе за нето накнаде зарада које се рефундирају</t>
  </si>
  <si>
    <t>455</t>
  </si>
  <si>
    <t>Обавезе за порезе и доприносе на накнаде зарада на терет запосленог које се рефундирају</t>
  </si>
  <si>
    <t>456</t>
  </si>
  <si>
    <t>Обавезе за порезе и доприносе на накнаде зарада на терет послодавца које се рефундирају</t>
  </si>
  <si>
    <t>460</t>
  </si>
  <si>
    <t>461</t>
  </si>
  <si>
    <t>Обавезе за дивиденде</t>
  </si>
  <si>
    <t>462</t>
  </si>
  <si>
    <t>463</t>
  </si>
  <si>
    <t>Обавезе према запосленима</t>
  </si>
  <si>
    <t>464</t>
  </si>
  <si>
    <t>465</t>
  </si>
  <si>
    <t>47</t>
  </si>
  <si>
    <t>470</t>
  </si>
  <si>
    <t>Обавезе за порез на додату вредност по издатим фактурама по општој стопи (осим примљених аванса)</t>
  </si>
  <si>
    <t>471</t>
  </si>
  <si>
    <t>Обавезе за порез на додату вредност по издатим фактурама по посебној стопи (осим примљених аванса)</t>
  </si>
  <si>
    <t>472</t>
  </si>
  <si>
    <t>Обавезе за порез на додату вредност по примљеним авансима по општој стопи</t>
  </si>
  <si>
    <t>473</t>
  </si>
  <si>
    <t>Обавезе за порез на додату вредност по примљеним авансима по посебној стопи</t>
  </si>
  <si>
    <t>474</t>
  </si>
  <si>
    <t>Обавезе за порез на додату вредност по основу сопствене потрошње по општој стопи</t>
  </si>
  <si>
    <t>475</t>
  </si>
  <si>
    <t>Обавезе за порез на додату вредност по основу сопствене потрошње по посебној стопи</t>
  </si>
  <si>
    <t>476</t>
  </si>
  <si>
    <t>Обавезе за порез на додату вредност по основу продаје за готовину</t>
  </si>
  <si>
    <t>479</t>
  </si>
  <si>
    <t>Обавезе за порез на додату вредност по основу разлике обрачунатог пореза на додату вредност и претходног пореза</t>
  </si>
  <si>
    <t>483</t>
  </si>
  <si>
    <t>Обавезе за доприносе који терете трошкове</t>
  </si>
  <si>
    <t>489</t>
  </si>
  <si>
    <t>Остале обавезе за порезе, доприносе и друге дажбине</t>
  </si>
  <si>
    <t>49</t>
  </si>
  <si>
    <t>490</t>
  </si>
  <si>
    <t>Унапред обрачунати трошкови</t>
  </si>
  <si>
    <t>491</t>
  </si>
  <si>
    <t>Обрачунати приходи будућег периода</t>
  </si>
  <si>
    <t>494</t>
  </si>
  <si>
    <t>Разграничени зависни трошкови набавке</t>
  </si>
  <si>
    <t>495</t>
  </si>
  <si>
    <t>Одложени приходи и примљене донације</t>
  </si>
  <si>
    <t>496</t>
  </si>
  <si>
    <t>Разграничени приходи по основу потраживања</t>
  </si>
  <si>
    <t>498</t>
  </si>
  <si>
    <t>Одложене пореске обавезе</t>
  </si>
  <si>
    <t>499</t>
  </si>
  <si>
    <t>Остала пасивна временска разграничења</t>
  </si>
  <si>
    <t>500</t>
  </si>
  <si>
    <t>Набавка робе</t>
  </si>
  <si>
    <t>502</t>
  </si>
  <si>
    <t>524</t>
  </si>
  <si>
    <t>525</t>
  </si>
  <si>
    <t>Трошкови накнада физичким лицима по основу осталих уговора</t>
  </si>
  <si>
    <t>526</t>
  </si>
  <si>
    <t>533</t>
  </si>
  <si>
    <t>Трошкови закупнина</t>
  </si>
  <si>
    <t>535</t>
  </si>
  <si>
    <t>Трошкови рекламе и пропаганде</t>
  </si>
  <si>
    <t>536</t>
  </si>
  <si>
    <t>Трошкови истраживања</t>
  </si>
  <si>
    <t>537</t>
  </si>
  <si>
    <t>Трошкови развоја који се не капитализују</t>
  </si>
  <si>
    <t>54</t>
  </si>
  <si>
    <t>540</t>
  </si>
  <si>
    <t>Трошкови амортизације</t>
  </si>
  <si>
    <t>541</t>
  </si>
  <si>
    <t>Трошкови резервисања за гарантни рок</t>
  </si>
  <si>
    <t>542</t>
  </si>
  <si>
    <t>543</t>
  </si>
  <si>
    <t>544</t>
  </si>
  <si>
    <t>545</t>
  </si>
  <si>
    <t>549</t>
  </si>
  <si>
    <t>551</t>
  </si>
  <si>
    <t>Трошкови репрезентације</t>
  </si>
  <si>
    <t>552</t>
  </si>
  <si>
    <t>Трошкови премија осигурања</t>
  </si>
  <si>
    <t>560</t>
  </si>
  <si>
    <t>561</t>
  </si>
  <si>
    <t>564</t>
  </si>
  <si>
    <t>565</t>
  </si>
  <si>
    <t>570</t>
  </si>
  <si>
    <t>Губици по основу расходовања и продаје нематеријалних улагања, некретнина, постројења и опреме</t>
  </si>
  <si>
    <t>571</t>
  </si>
  <si>
    <t>Губици по основу расходовања и продаје биолошких средстава</t>
  </si>
  <si>
    <t>572</t>
  </si>
  <si>
    <t>Губици по основу продаје учешћа у капиталу и хартија од вредности</t>
  </si>
  <si>
    <t>573</t>
  </si>
  <si>
    <t>Губици од продаје материјала</t>
  </si>
  <si>
    <t>574</t>
  </si>
  <si>
    <t>Мањкови</t>
  </si>
  <si>
    <t>575</t>
  </si>
  <si>
    <t>576</t>
  </si>
  <si>
    <t>Расходи по основу директних отписа потраживања</t>
  </si>
  <si>
    <t>577</t>
  </si>
  <si>
    <t>Расходи по основу расходовања залиха материјала и робе</t>
  </si>
  <si>
    <t>58</t>
  </si>
  <si>
    <t>580</t>
  </si>
  <si>
    <t>Обезвређење биолошких средстава</t>
  </si>
  <si>
    <t>581</t>
  </si>
  <si>
    <t>Обезвређење нематеријалних улагања</t>
  </si>
  <si>
    <t>582</t>
  </si>
  <si>
    <t>Обезвређење некретнина, постројења и опреме</t>
  </si>
  <si>
    <t>583</t>
  </si>
  <si>
    <t>Обезвређење дугорочних финансијских пласмана и других хартија од вредности расположивих за продају</t>
  </si>
  <si>
    <t>584</t>
  </si>
  <si>
    <t>Обезвређење залиха материјала и робе</t>
  </si>
  <si>
    <t>585</t>
  </si>
  <si>
    <t>Обезвређење потраживања и краткорочних финансијских пласмана</t>
  </si>
  <si>
    <t>589</t>
  </si>
  <si>
    <t>Обезвређење остале имовине</t>
  </si>
  <si>
    <t>59</t>
  </si>
  <si>
    <t>590</t>
  </si>
  <si>
    <t>591</t>
  </si>
  <si>
    <t>599</t>
  </si>
  <si>
    <t>Пренос расхода</t>
  </si>
  <si>
    <t>600</t>
  </si>
  <si>
    <t>601</t>
  </si>
  <si>
    <t>610</t>
  </si>
  <si>
    <t>611</t>
  </si>
  <si>
    <t>62</t>
  </si>
  <si>
    <t>620</t>
  </si>
  <si>
    <t>Приходи од активирања или потрошње робе за сопствене потребе</t>
  </si>
  <si>
    <t>621</t>
  </si>
  <si>
    <t>Приходи од активирања или потрошње производа и услуга за сопствене потребе</t>
  </si>
  <si>
    <t>63</t>
  </si>
  <si>
    <t>630</t>
  </si>
  <si>
    <t>631</t>
  </si>
  <si>
    <t>64</t>
  </si>
  <si>
    <t>640</t>
  </si>
  <si>
    <t>641</t>
  </si>
  <si>
    <t>Приходи по основу условљених донација</t>
  </si>
  <si>
    <t>65</t>
  </si>
  <si>
    <t>650</t>
  </si>
  <si>
    <t>Приходи од закупнина</t>
  </si>
  <si>
    <t>651</t>
  </si>
  <si>
    <t>Приходи од чланарина</t>
  </si>
  <si>
    <t>652</t>
  </si>
  <si>
    <t>659</t>
  </si>
  <si>
    <t>Остали пословни приходи</t>
  </si>
  <si>
    <t>660</t>
  </si>
  <si>
    <t>661</t>
  </si>
  <si>
    <t>664</t>
  </si>
  <si>
    <t>Приходи по основу ефеката валутне клаузуле</t>
  </si>
  <si>
    <t>665</t>
  </si>
  <si>
    <t>669</t>
  </si>
  <si>
    <t>670</t>
  </si>
  <si>
    <t>Добици од продаје нематеријалних улагања, некретнина, постројења и опреме</t>
  </si>
  <si>
    <t>671</t>
  </si>
  <si>
    <t>Добици од продаје биолошких средстава</t>
  </si>
  <si>
    <t>672</t>
  </si>
  <si>
    <t>Добици од продаје учешћа и дугорочних хартија од вредности</t>
  </si>
  <si>
    <t>673</t>
  </si>
  <si>
    <t>Добици од продаје материјала</t>
  </si>
  <si>
    <t>674</t>
  </si>
  <si>
    <t>Вишкови</t>
  </si>
  <si>
    <t>675</t>
  </si>
  <si>
    <t>Наплаћена отписана потраживања</t>
  </si>
  <si>
    <t>676</t>
  </si>
  <si>
    <t>Приходи по основу ефеката уговорене заштите од ризика</t>
  </si>
  <si>
    <t>677</t>
  </si>
  <si>
    <t>Приходи од смањења обавеза</t>
  </si>
  <si>
    <t>678</t>
  </si>
  <si>
    <t>Приходи од укидања дугорочних резервисања</t>
  </si>
  <si>
    <t>68</t>
  </si>
  <si>
    <t>680</t>
  </si>
  <si>
    <t>Приходи од усклађивања вредности биолошких средстава</t>
  </si>
  <si>
    <t>681</t>
  </si>
  <si>
    <t>Приходи од усклађивања вредности нематеријалних улагања</t>
  </si>
  <si>
    <t>682</t>
  </si>
  <si>
    <t>Приходи од усклађивања вредности некретнина, постројења и опреме</t>
  </si>
  <si>
    <t>683</t>
  </si>
  <si>
    <t>684</t>
  </si>
  <si>
    <t>Приходи од усклађивања вредности залиха</t>
  </si>
  <si>
    <t>685</t>
  </si>
  <si>
    <t>Приходи од усклађивања вредности потраживања и краткорочних финансијских пласмана</t>
  </si>
  <si>
    <t>689</t>
  </si>
  <si>
    <t>Приходи од усклађивања вредности остале имовине</t>
  </si>
  <si>
    <t>69</t>
  </si>
  <si>
    <t>690</t>
  </si>
  <si>
    <t>Добитак пословања које се обуставља</t>
  </si>
  <si>
    <t>691</t>
  </si>
  <si>
    <t>699</t>
  </si>
  <si>
    <t>Пренос прихода</t>
  </si>
  <si>
    <t>71</t>
  </si>
  <si>
    <t>710</t>
  </si>
  <si>
    <t>711</t>
  </si>
  <si>
    <t>712</t>
  </si>
  <si>
    <t>Пренос укупног резултата</t>
  </si>
  <si>
    <t>72</t>
  </si>
  <si>
    <t>720</t>
  </si>
  <si>
    <t>Добитак или губитак</t>
  </si>
  <si>
    <t>721</t>
  </si>
  <si>
    <t>Порески расход периода</t>
  </si>
  <si>
    <t>722</t>
  </si>
  <si>
    <t>Одложени порески расходи и приходи периода</t>
  </si>
  <si>
    <t>723</t>
  </si>
  <si>
    <t>Лична примања послодавца</t>
  </si>
  <si>
    <t>724</t>
  </si>
  <si>
    <t>Пренос добитка или губитка</t>
  </si>
  <si>
    <t>73</t>
  </si>
  <si>
    <t>730</t>
  </si>
  <si>
    <t>74</t>
  </si>
  <si>
    <t>СЛОБОДНA ГРУПA</t>
  </si>
  <si>
    <t>88</t>
  </si>
  <si>
    <t>ВАНБИЛАНСНА АКТИВА</t>
  </si>
  <si>
    <t>880</t>
  </si>
  <si>
    <t>881</t>
  </si>
  <si>
    <t>882</t>
  </si>
  <si>
    <t>883</t>
  </si>
  <si>
    <t>884</t>
  </si>
  <si>
    <t>89</t>
  </si>
  <si>
    <t>ВАНБИЛАНСНА ПАСИВА</t>
  </si>
  <si>
    <t>890</t>
  </si>
  <si>
    <t>891</t>
  </si>
  <si>
    <t>892</t>
  </si>
  <si>
    <t>Обавезе за хартије од вредности ван промета</t>
  </si>
  <si>
    <t>893</t>
  </si>
  <si>
    <t>Обавезе за аванс, гаранције и друга јемства</t>
  </si>
  <si>
    <t>894</t>
  </si>
  <si>
    <t>Остала пасивна конта ванбилансне евиденције</t>
  </si>
  <si>
    <t>90</t>
  </si>
  <si>
    <t>900</t>
  </si>
  <si>
    <t>Рачун за преузимање залиха</t>
  </si>
  <si>
    <t>901</t>
  </si>
  <si>
    <t>Рачун за преузимање набавке материјала и робе</t>
  </si>
  <si>
    <t>902</t>
  </si>
  <si>
    <t>Рачун за преузимање трошкова</t>
  </si>
  <si>
    <t>903</t>
  </si>
  <si>
    <t>Рачун за преузимање прихода</t>
  </si>
  <si>
    <t>91</t>
  </si>
  <si>
    <t>910</t>
  </si>
  <si>
    <t>911</t>
  </si>
  <si>
    <t>Роба</t>
  </si>
  <si>
    <t>912</t>
  </si>
  <si>
    <t>Производи и роба у продавницама произвођача</t>
  </si>
  <si>
    <t>92</t>
  </si>
  <si>
    <t>93</t>
  </si>
  <si>
    <t>94</t>
  </si>
  <si>
    <t>95</t>
  </si>
  <si>
    <t>Носиоци трошкова</t>
  </si>
  <si>
    <t>958</t>
  </si>
  <si>
    <t>959</t>
  </si>
  <si>
    <t>96</t>
  </si>
  <si>
    <t>960</t>
  </si>
  <si>
    <t>961</t>
  </si>
  <si>
    <t>962</t>
  </si>
  <si>
    <t>963</t>
  </si>
  <si>
    <t>964</t>
  </si>
  <si>
    <t>965</t>
  </si>
  <si>
    <t>966</t>
  </si>
  <si>
    <t>967</t>
  </si>
  <si>
    <t>Носиоци троскова</t>
  </si>
  <si>
    <t>969</t>
  </si>
  <si>
    <t>Одступања у трошковима носилаца трошкова</t>
  </si>
  <si>
    <t>97</t>
  </si>
  <si>
    <t>98</t>
  </si>
  <si>
    <t>ПОСЛОВНИ РAСХОДИ И ПРИХОДИ</t>
  </si>
  <si>
    <t>980</t>
  </si>
  <si>
    <t>Трошкови продатих производа и услуга</t>
  </si>
  <si>
    <t>981</t>
  </si>
  <si>
    <t>982</t>
  </si>
  <si>
    <t>Трошкови периода</t>
  </si>
  <si>
    <t>983</t>
  </si>
  <si>
    <t>Отписи, мањкови и вишкови залиха учинака</t>
  </si>
  <si>
    <t>985</t>
  </si>
  <si>
    <t>Слободна група</t>
  </si>
  <si>
    <t>986</t>
  </si>
  <si>
    <t>Приходи по основу производа и услуга</t>
  </si>
  <si>
    <t>987</t>
  </si>
  <si>
    <t>Приходи по основу робе (укључују се производи с група рачуна 60.61.62.64)</t>
  </si>
  <si>
    <t>988</t>
  </si>
  <si>
    <t>Слободан рачун</t>
  </si>
  <si>
    <t>989</t>
  </si>
  <si>
    <t>Други пословни приходи</t>
  </si>
  <si>
    <t>99</t>
  </si>
  <si>
    <t>РAЧУНИ ДОБИТAКA, ГУБИТAКA И ЗAКЉУЧAКA</t>
  </si>
  <si>
    <t>990</t>
  </si>
  <si>
    <t>Пословни добитак и губитак</t>
  </si>
  <si>
    <t>991</t>
  </si>
  <si>
    <t>Губитак и добитак по основу продаје материјала</t>
  </si>
  <si>
    <t>992</t>
  </si>
  <si>
    <t>Мањкови материјала и робе</t>
  </si>
  <si>
    <t>993</t>
  </si>
  <si>
    <t>Отписи материјала и робе</t>
  </si>
  <si>
    <t>994</t>
  </si>
  <si>
    <t>Вишкови материјала и робе</t>
  </si>
  <si>
    <t>999</t>
  </si>
  <si>
    <t>Закључак обрачуна трошкова и учинака</t>
  </si>
  <si>
    <t>OBRAZAC IOS</t>
  </si>
  <si>
    <t>DUŽNIK VRAĆA POVERIOCU</t>
  </si>
  <si>
    <t>NAZIV PREDUZEĆA ILI DRUGOG</t>
  </si>
  <si>
    <t xml:space="preserve">       PRAVNOG LICA</t>
  </si>
  <si>
    <t xml:space="preserve">       -POVERILAC-</t>
  </si>
  <si>
    <t xml:space="preserve">         -DUŽNIK-</t>
  </si>
  <si>
    <t>__________________________________________________</t>
  </si>
  <si>
    <t xml:space="preserve">    (Naziv i mesto)</t>
  </si>
  <si>
    <t>IZVOD</t>
  </si>
  <si>
    <t>OTVORENIH STAVKI NA DAN</t>
  </si>
  <si>
    <t>GODINE</t>
  </si>
  <si>
    <t>Vaš račun br;</t>
  </si>
  <si>
    <t xml:space="preserve">prema našim poslovnim knjigama na dan </t>
  </si>
  <si>
    <t>godine</t>
  </si>
  <si>
    <t>pokazuje SALDO od</t>
  </si>
  <si>
    <t>dinara</t>
  </si>
  <si>
    <t>u VAŠU-NAŠU korist, a sastoji se od sledećih otvorenih stavki:</t>
  </si>
  <si>
    <t>Potvrdjujemo saglasnost otvorenih stavki</t>
  </si>
  <si>
    <t>_________________________________</t>
  </si>
  <si>
    <t xml:space="preserve">                    Napomena: Osporavamo iskazano stanje u CELINI-DELIMIČNO za iznos od:</t>
  </si>
  <si>
    <t>dinara iz sledećih razloga</t>
  </si>
  <si>
    <t>____________________________________________________________________________________________________________________________________</t>
  </si>
  <si>
    <t xml:space="preserve">         (Mesto i datum)</t>
  </si>
  <si>
    <t>Extract</t>
  </si>
  <si>
    <t>=BRUTO!$P$18</t>
  </si>
  <si>
    <t>=BRUTO!$Q$14:$Q$15</t>
  </si>
  <si>
    <t>plan0</t>
  </si>
  <si>
    <t>=KONPLAN!$A$2:$B$33</t>
  </si>
  <si>
    <t>PLAN1</t>
  </si>
  <si>
    <t>=KONPLAN!$A$39:$B$73</t>
  </si>
  <si>
    <t>plan2</t>
  </si>
  <si>
    <t>=KONPLAN!$A$75:$B$134</t>
  </si>
  <si>
    <t>plan3</t>
  </si>
  <si>
    <t>=KONPLAN!$A$141:$B$165</t>
  </si>
  <si>
    <t>plan4</t>
  </si>
  <si>
    <t>=KONPLAN!$A$171:$B$248</t>
  </si>
  <si>
    <t>plan5</t>
  </si>
  <si>
    <t>=KONPLAN!$A$252:$B$327</t>
  </si>
  <si>
    <t>plan6</t>
  </si>
  <si>
    <t>=KONPLAN!$A$331:$B$386</t>
  </si>
  <si>
    <t>plan7</t>
  </si>
  <si>
    <t>=KONPLAN!$A$391:$B$406</t>
  </si>
  <si>
    <t>PLAN8</t>
  </si>
  <si>
    <t>=KONPLAN!$A$412:$B$431</t>
  </si>
  <si>
    <t>plan9</t>
  </si>
  <si>
    <t>=KONPLAN!$A$434:$B$499</t>
  </si>
  <si>
    <t>ОРГАНИЗАЦИЈА:</t>
  </si>
  <si>
    <t>УПИСАНИ А НЕУПЛАЋЕНИ КАПИТАЛ</t>
  </si>
  <si>
    <t>Уписане а неуплаћене акције</t>
  </si>
  <si>
    <t>Уписани а неуплаћени удели и улози</t>
  </si>
  <si>
    <t>НЕМАТЕРИЈАЛНА ИМОВИНА</t>
  </si>
  <si>
    <t>Концесије, патенти, лиценце, робне и услужне марке</t>
  </si>
  <si>
    <t>Софтвер и остала права</t>
  </si>
  <si>
    <t>013</t>
  </si>
  <si>
    <t>Гудвил</t>
  </si>
  <si>
    <t>Остала нематеријална имовина</t>
  </si>
  <si>
    <t>Нематеријална имовина у припреми</t>
  </si>
  <si>
    <t>Аванси за нематеријалну имовину</t>
  </si>
  <si>
    <t>019</t>
  </si>
  <si>
    <t>Исправка вредности нематеријалне имовине</t>
  </si>
  <si>
    <t>НЕКРЕТНИНЕ, ПОСТРОЈЕЊА И ОПРЕМА</t>
  </si>
  <si>
    <t>Пољопривредно и остало земљиште</t>
  </si>
  <si>
    <t>Грађевинско земљиште</t>
  </si>
  <si>
    <t>Некретнине, постројења и опрема у припреми</t>
  </si>
  <si>
    <t>Аванси за некретнине, постројења и опрему</t>
  </si>
  <si>
    <t>Исправка вредности некретнина, постројења и опреме</t>
  </si>
  <si>
    <t>БИОЛОШКА СРЕДСТВА</t>
  </si>
  <si>
    <t>Шуме</t>
  </si>
  <si>
    <t>Вишегодишњи засади</t>
  </si>
  <si>
    <t>Биолошка средства у припреми</t>
  </si>
  <si>
    <t>Аванси за биолошка средства</t>
  </si>
  <si>
    <t>Исправка вредности биолошких средстава</t>
  </si>
  <si>
    <t>04</t>
  </si>
  <si>
    <t>ДУГОРОЧНИ ФИНАНСИЈСКИ ПЛАСМАНИ</t>
  </si>
  <si>
    <t>040</t>
  </si>
  <si>
    <t>041</t>
  </si>
  <si>
    <t>Учешћа у капиталу придружених субјеката и заједничким подухватима</t>
  </si>
  <si>
    <t>042</t>
  </si>
  <si>
    <t>Учешћа у капиталу осталих правних лица и друге хартије од вредности расположиве за продају</t>
  </si>
  <si>
    <t>043</t>
  </si>
  <si>
    <t>Дугорочни пласмани матичним, зависним и осталим повезаним правним лицима у земљи</t>
  </si>
  <si>
    <t>044</t>
  </si>
  <si>
    <t>Дугорочни пласмани матичним, зависним и осталим повезаним правним лицима у иностранству</t>
  </si>
  <si>
    <t>045</t>
  </si>
  <si>
    <t>Дугорочни пласмани у земљи и иностранству</t>
  </si>
  <si>
    <t>046</t>
  </si>
  <si>
    <t>047</t>
  </si>
  <si>
    <t>Откупљене сопствене акције и откупљени сопствени удели</t>
  </si>
  <si>
    <t>048</t>
  </si>
  <si>
    <t>Остали дугорочни финансијски пласмани</t>
  </si>
  <si>
    <t>049</t>
  </si>
  <si>
    <t>05</t>
  </si>
  <si>
    <t>ДУГОРОЧНА ПОТРАЖИВАЊА</t>
  </si>
  <si>
    <t>050</t>
  </si>
  <si>
    <t>Потраживања од матичних и зависних правних лица</t>
  </si>
  <si>
    <t>051</t>
  </si>
  <si>
    <t>Потраживања од осталих повезаних лица</t>
  </si>
  <si>
    <t>052</t>
  </si>
  <si>
    <t>Потраживања по основу продаје на робни кредит</t>
  </si>
  <si>
    <t>053</t>
  </si>
  <si>
    <t>Потраживања за продају по уговорима о финансијском лизингу</t>
  </si>
  <si>
    <t>054</t>
  </si>
  <si>
    <t>Потраживања по основу јемства</t>
  </si>
  <si>
    <t>055</t>
  </si>
  <si>
    <t>Спорна и сумњива потраживања</t>
  </si>
  <si>
    <t>056</t>
  </si>
  <si>
    <t>Остала дугорочна потраживања</t>
  </si>
  <si>
    <t>059</t>
  </si>
  <si>
    <t>Исправка вредности дугорочних потраживања</t>
  </si>
  <si>
    <t>ЗАЛИХЕ МАТЕРИЈАЛА</t>
  </si>
  <si>
    <t>Обрачун набавне вредности залиха материјала, резервних делова, алата и инвентара</t>
  </si>
  <si>
    <t>Алат и инвентар</t>
  </si>
  <si>
    <t>104</t>
  </si>
  <si>
    <t>Материјал, резервни делови, алат и инвентар у обради, доради и манипулацији</t>
  </si>
  <si>
    <t>Исправка вредности материјала, резервних делова, алата и инвентара</t>
  </si>
  <si>
    <t>НЕДОВРШЕНА ПРОИЗВОДЊА И УСЛУГЕ</t>
  </si>
  <si>
    <t>119</t>
  </si>
  <si>
    <t>Одступање од цена производње и услуга</t>
  </si>
  <si>
    <t>Готови производи у складишту</t>
  </si>
  <si>
    <t>129</t>
  </si>
  <si>
    <t>Одступање од цена готових производа</t>
  </si>
  <si>
    <t>РОБА</t>
  </si>
  <si>
    <t>Роба у складишту, стоваришту и продавницама код других правних лица</t>
  </si>
  <si>
    <t>Исправка вредности сталних средстава и средстава обустављеног пословања намењених продаји</t>
  </si>
  <si>
    <t>ПЛАЋЕНИ АВАНСИ ЗА ЗАЛИХЕ И УСЛУГЕ</t>
  </si>
  <si>
    <t>Плаћени аванси за материјал, резервне делове и инвентар у земљи</t>
  </si>
  <si>
    <t>151</t>
  </si>
  <si>
    <t>Плаћени аванси за материјал, резервне делове и инвентар у иностранству</t>
  </si>
  <si>
    <t>152</t>
  </si>
  <si>
    <t>Плаћени аванси за робу у земљи</t>
  </si>
  <si>
    <t>153</t>
  </si>
  <si>
    <t>Плаћени аванси за робу у иностранству</t>
  </si>
  <si>
    <t>154</t>
  </si>
  <si>
    <t>Плаћени аванси за услуге у земљи</t>
  </si>
  <si>
    <t>155</t>
  </si>
  <si>
    <t>Плаћени аванси за услуге у иностранству</t>
  </si>
  <si>
    <t>Исправка вредности плаћених аванса</t>
  </si>
  <si>
    <t>ПОТРАЖИВАЊА ПО ОСНОВУ ПРОДАЈЕ</t>
  </si>
  <si>
    <t>Купци у земљи  матична и зависна правна лица</t>
  </si>
  <si>
    <t>Купци у иностранству  матична и зависна правна лица</t>
  </si>
  <si>
    <t>Купци у земљи  остала повезана правна лица</t>
  </si>
  <si>
    <t>Купци у иностранству  остала повезана правна лица</t>
  </si>
  <si>
    <t>204</t>
  </si>
  <si>
    <t>205</t>
  </si>
  <si>
    <t>206</t>
  </si>
  <si>
    <t>Остала потраживања по основу продаје</t>
  </si>
  <si>
    <t>Исправка вредности потраживања од продаје</t>
  </si>
  <si>
    <t>ПОТРАЖИВАЊА ИЗ СПЕЦИФИЧНИХ ПОСЛОВА</t>
  </si>
  <si>
    <t>Потраживања по основу увоза за туђ рачун</t>
  </si>
  <si>
    <t>Потраживања из комисионе и консигнационе продаје</t>
  </si>
  <si>
    <t>ДРУГА ПОТРАЖИВАЊА</t>
  </si>
  <si>
    <t>Потраживања за више плаћен порез на добитак</t>
  </si>
  <si>
    <t>225</t>
  </si>
  <si>
    <t>Потраживања за накнаде зарада које се рефундирају</t>
  </si>
  <si>
    <t>226</t>
  </si>
  <si>
    <t>Потраживања по основу накнада штета</t>
  </si>
  <si>
    <t>Остала краткорочна потраживања</t>
  </si>
  <si>
    <t>КРАТКОРОЧНИ ФИНАНСИЈСКИ ПЛАСМАНИ</t>
  </si>
  <si>
    <t>Краткорочни кредити и пласмани  матична и зависна правна лица</t>
  </si>
  <si>
    <t>Краткорочни кредити и пласмани  остала повезана правна лица</t>
  </si>
  <si>
    <t>Краткорочни кредити и зајмови у земљи</t>
  </si>
  <si>
    <t>Краткорочни кредити и зајмови у иностранству</t>
  </si>
  <si>
    <t>Део дугорочних финансијских пласмана који доспева до једне године</t>
  </si>
  <si>
    <t>Хартије од вредности које се држе до доспећа  део који доспева до једне године</t>
  </si>
  <si>
    <t>Финансијска средства која се вреднују по фер вредности кроз Биланс успеха</t>
  </si>
  <si>
    <t>Откупљене сопствене акције намењене продаји и откупљени сопствени удели намењени продаји или поништавању</t>
  </si>
  <si>
    <t>ГОТОВИНСКИ ЕКВИВАЛЕНТИ И ГОТОВИНА</t>
  </si>
  <si>
    <t>Хартије од вредности  готовински еквиваленти</t>
  </si>
  <si>
    <t>ПОРЕЗ НА ДОДАТУ ВРЕДНОСТ</t>
  </si>
  <si>
    <t>Накнадно враћен порез на додату вредност купцима  страним држављанима</t>
  </si>
  <si>
    <t>278</t>
  </si>
  <si>
    <t>ПДВ надокнада исплаћена пољопривредницима</t>
  </si>
  <si>
    <t>Потраживања за више плаћени порез на додату вредност</t>
  </si>
  <si>
    <t>АКТИВНА ВРЕМЕНСКА РАЗГРАНИЧЕЊА</t>
  </si>
  <si>
    <t>291</t>
  </si>
  <si>
    <t>292</t>
  </si>
  <si>
    <t>Потраживања за нефактурисани приход</t>
  </si>
  <si>
    <t>293</t>
  </si>
  <si>
    <t>298</t>
  </si>
  <si>
    <t>299</t>
  </si>
  <si>
    <t>ОСНОВНИ КАПИТАЛ</t>
  </si>
  <si>
    <t>Акцијски капитал</t>
  </si>
  <si>
    <t>Удели друштава с ограниченом одговорношћу</t>
  </si>
  <si>
    <t>306</t>
  </si>
  <si>
    <t>Остали основни капитал</t>
  </si>
  <si>
    <t>РЕВАЛОРИЗАЦИОНЕ РЕЗЕРВЕ И НЕРЕАЛИЗОВАНИ ДОБИЦИ И ГУБИЦИ</t>
  </si>
  <si>
    <t>Ревалоризационе резерве по основу ревалоризације нематеријалне имовине, некретнина, постројења и опреме</t>
  </si>
  <si>
    <t>Актуарски добици или губици по основу планова дефинисаних примања</t>
  </si>
  <si>
    <t>332</t>
  </si>
  <si>
    <t>Добици или губици по основу улагања у власничке инструменте капитала</t>
  </si>
  <si>
    <t>333</t>
  </si>
  <si>
    <t>Добици или губици по основу удела у осталом свеобухватном добитку или губитку придружених друштава</t>
  </si>
  <si>
    <t>334</t>
  </si>
  <si>
    <t>Добици или губици по основу прерачуна финансијских извештаја иностраног пословања</t>
  </si>
  <si>
    <t>335</t>
  </si>
  <si>
    <t>Добици или губици од инструмената заштите нето улагања у инострано пословање</t>
  </si>
  <si>
    <t>336</t>
  </si>
  <si>
    <t>Добици или губици по основу инструмената заштите ризика (хеџинга) новчаног тока</t>
  </si>
  <si>
    <t>337</t>
  </si>
  <si>
    <t>Добици или губици по основу хартија од вредности расположивих за продају</t>
  </si>
  <si>
    <t>НЕРАСПОРЕЂЕНИ ДОБИТАК</t>
  </si>
  <si>
    <t>Нераспоређени добитак ранијих година</t>
  </si>
  <si>
    <t>Нераспоређени добитак текуће године</t>
  </si>
  <si>
    <t>ГУБИТАК</t>
  </si>
  <si>
    <t>ДУГОРОЧНА РЕЗЕРВИСАЊА</t>
  </si>
  <si>
    <t>Резервисања за трошкове обнављања природних богатстава</t>
  </si>
  <si>
    <t>Резервисања за трошкове реструктурирања</t>
  </si>
  <si>
    <t>405</t>
  </si>
  <si>
    <t>Резервисања за трошкове судских спорова</t>
  </si>
  <si>
    <t>ДУГОРОЧНЕ ОБАВЕЗЕ</t>
  </si>
  <si>
    <t>Обавезе по емитованим хартијама од вредности у периоду дужем од годину дана</t>
  </si>
  <si>
    <t>Дугорочни кредити и зајмови у земљи</t>
  </si>
  <si>
    <t>Дугорочни кредити и зајмови у иностранству</t>
  </si>
  <si>
    <t>416</t>
  </si>
  <si>
    <t>Обавезе по основу финансијског лизинга</t>
  </si>
  <si>
    <t>КРАТКОРОЧНЕ ФИНАНСИЈСКЕ ОБАВЕЗЕ</t>
  </si>
  <si>
    <t>Део дугорочних кредита који доспева до једне године</t>
  </si>
  <si>
    <t>Део осталих дугорочних обавеза које доспевају до једне године</t>
  </si>
  <si>
    <t>Остале краткорочне финансијске обавезе</t>
  </si>
  <si>
    <t>ОБАВЕЗЕ ИЗ ПОСЛОВАЊА</t>
  </si>
  <si>
    <t>Добављачи  матична и зависна правна лица у земљи</t>
  </si>
  <si>
    <t>Добављачи  матична и зависна правна лица у иностранству</t>
  </si>
  <si>
    <t>Добављачи  остала повезана правна лица у земљи</t>
  </si>
  <si>
    <t>Добављачи  остала повезана правна лица у иностранству</t>
  </si>
  <si>
    <t>435</t>
  </si>
  <si>
    <t>436</t>
  </si>
  <si>
    <t>ОБАВЕЗЕ ИЗ СПЕЦИФИЧНИХ ПОСЛОВА</t>
  </si>
  <si>
    <t>ОБАВЕЗЕ ПО ОСНОВУ ЗАРАДА И НАКНАДА ЗАРАДА</t>
  </si>
  <si>
    <t>ДРУГЕ ОБАВЕЗЕ</t>
  </si>
  <si>
    <t>Обавезе по основу камата и трошкова финансирања</t>
  </si>
  <si>
    <t>Обавезе за учешће у добитку</t>
  </si>
  <si>
    <t>Обавезе према директору, односно члановима органа управљања и надзора</t>
  </si>
  <si>
    <t>Обавезе према физичким лицима за накнаде по уговорима</t>
  </si>
  <si>
    <t>467</t>
  </si>
  <si>
    <t>Обавезе за краткорочна резервисања</t>
  </si>
  <si>
    <t>ОБАВЕЗЕ ЗА ПОРЕЗ НА ДОДАТУ ВРЕДНОСТ</t>
  </si>
  <si>
    <t>ОБАВЕЗЕ ЗА ОСТАЛЕ ПОРЕЗЕ, ДОПРИНОСЕ И ДРУГЕ ДАЖБИНЕ</t>
  </si>
  <si>
    <t>Обавезе за акцизе</t>
  </si>
  <si>
    <t>ПАСИВНА ВРЕМЕНСКА РАЗГРАНИЧЕЊА</t>
  </si>
  <si>
    <t>НАБАВНА ВРЕДНОСТ ПРОДАТЕ РОБЕ</t>
  </si>
  <si>
    <t>Набавна вредност некретнина прибављених ради продаје</t>
  </si>
  <si>
    <t>ТРОШКОВИ МАТЕРИЈАЛА И ЕНЕРГИЈЕ</t>
  </si>
  <si>
    <t>514</t>
  </si>
  <si>
    <t>Трошкови резервних делова</t>
  </si>
  <si>
    <t>515</t>
  </si>
  <si>
    <t>Трошкови једнократног отписа алата и инвентара</t>
  </si>
  <si>
    <t>ТРОШКОВИ ЗАРАДА, НАКНАДА ЗАРАДА И ОСТАЛИ ЛИЧНИ ТРОШКОВИ</t>
  </si>
  <si>
    <t>Трошкови накнада по уговору о привременим и повременим пословима</t>
  </si>
  <si>
    <t>Трошкови накнада директору, односно члановима органа управљања и надзора</t>
  </si>
  <si>
    <t>ТРОШКОВИ ПРОИЗВОДНИХ УСЛУГА</t>
  </si>
  <si>
    <t>ТРОШКОВИ АМОРТИЗАЦИЈЕ И РЕЗЕРВИСАЊА</t>
  </si>
  <si>
    <t>НЕМАТЕРИЈАЛНИ ТРОШКОВИ</t>
  </si>
  <si>
    <t>Трошкови чланарина</t>
  </si>
  <si>
    <t>ФИНАНСИЈСКИ РАСХОДИ</t>
  </si>
  <si>
    <t>Финансијски расходи из односа са матичним и зависним правним лицима</t>
  </si>
  <si>
    <t>Финансијски расходи из односа са осталим повезаним правним лицима</t>
  </si>
  <si>
    <t>Расходи камата (према трећим лицима)</t>
  </si>
  <si>
    <t>Негативне курсне разлике (према трећим лицима)</t>
  </si>
  <si>
    <t>Расходи по основу ефеката валутне клаузуле (према трећим лицима)</t>
  </si>
  <si>
    <t>Расходи од учешћа у губитку зависних правних лица и заједничких улагања</t>
  </si>
  <si>
    <t>566</t>
  </si>
  <si>
    <t>Расходи по основу ефеката уговорене заштите од ризика, који не испуњавају услове да се искажу у оквиру осталог свеобухватног добитка</t>
  </si>
  <si>
    <t>Остали финансијски расходи</t>
  </si>
  <si>
    <t>ОСТАЛИ РАСХОДИ</t>
  </si>
  <si>
    <t>Расходи по основу ефеката уговорене заштите од ризика, који не испуњавају услове да се искажу у оквиру ревалоризационих резерви</t>
  </si>
  <si>
    <t>РАСХОДИ ПО ОСНОВУ ОБЕЗВРЕЂЕЊА ИМОВИНЕ КОЈЕ СЕ ВРЕДНУЈЕ ПО ФЕР ВРЕДНОСТИ КРОЗ БИЛАНС УСПЕХА</t>
  </si>
  <si>
    <t>ГУБИТАК ПОСЛОВАЊА КОЈЕ СЕ ОБУСТАВЉА, ЕФЕКТИ ПРОМЕНЕ РАЧУНОВОДСТВЕНЕ ПОЛИТИКЕ, ИСПРАВКЕ ГРЕШАКА РАНИЈИХ ПЕРИОДА И ПРЕНОС РАСХОДА</t>
  </si>
  <si>
    <t>Губитак пословања које се обуставља</t>
  </si>
  <si>
    <t>Расходи по основу ефеката промене рачуноводствених политика</t>
  </si>
  <si>
    <t>592</t>
  </si>
  <si>
    <t>Расходи по основу исправки грешака из ранијих година које нису материјално значајне</t>
  </si>
  <si>
    <t>ПРИХОДИ ОД ПРОДАЈЕ РОБЕ</t>
  </si>
  <si>
    <t>Приходи од продаје робе матичним и зависним правним лицима на домаћем тржишту</t>
  </si>
  <si>
    <t>Приходи од продаје робе матичним и зависним правним лицима на иностраном тржишту</t>
  </si>
  <si>
    <t>Приходи од продаје робе осталим повезаним правним лицима на домаћем тржишту</t>
  </si>
  <si>
    <t>Приходи од продаје робе осталим повезаним правним лицима на иностраном тржишту</t>
  </si>
  <si>
    <t>604</t>
  </si>
  <si>
    <t>605</t>
  </si>
  <si>
    <t>ПРИХОДИ ОД ПРОДАЈЕ ПРОИЗВОДА И УСЛУГА</t>
  </si>
  <si>
    <t>Приходи од продаје производа и услуга матичним и зависним правним лицима на домаћем тржишту</t>
  </si>
  <si>
    <t>Приходи од продаје производа и услуга матичним и зависним правним лицима на иностраном тржишту</t>
  </si>
  <si>
    <t>Приходи од продаје производа и услуга осталим повезаним правним лицима на домаћем тржишту</t>
  </si>
  <si>
    <t>Приходи од продаје производа и услуга осталим повезаним правним лицима на иностраном тржишту</t>
  </si>
  <si>
    <t>614</t>
  </si>
  <si>
    <t>Приходи од продаје производа и услуга на домаћем тржишту</t>
  </si>
  <si>
    <t>615</t>
  </si>
  <si>
    <t>ПРИХОДИ ОД АКТИВИРАЊА УЧИНАКА И РОБЕ</t>
  </si>
  <si>
    <t>ПРОМЕНА ВРЕДНОСТИ ЗАЛИХА УЧИНАКА</t>
  </si>
  <si>
    <t>Повећање вредности залиха недовршених и готових производа и недовршених услуга</t>
  </si>
  <si>
    <t>Смањење вредности залиха недовршених и готових производа и недовршених услуга</t>
  </si>
  <si>
    <t>ПРИХОДИ ОД ПРЕМИЈА, СУБВЕНЦИЈА, ДОТАЦИЈА, ДОНАЦИЈА И СЛ.</t>
  </si>
  <si>
    <t>Приходи од премија, субвенција, дотација, регреса, компензација и повраћаја пореских дажбина</t>
  </si>
  <si>
    <t>ДРУГИ ПОСЛОВНИ ПРИХОДИ</t>
  </si>
  <si>
    <t>Приходи од тантијема и лиценцних накнада</t>
  </si>
  <si>
    <t>ФИНАНСИЈСКИ ПРИХОДИ</t>
  </si>
  <si>
    <t>Финансијски приходи од матичних и зависних правних лица</t>
  </si>
  <si>
    <t>Финансијски приходи од осталих повезаних правних лица</t>
  </si>
  <si>
    <t>Приходи од камата (од трећих лица)</t>
  </si>
  <si>
    <t>Приходи од учешћа у добитку зависних правних лица и заједничких аранжмана</t>
  </si>
  <si>
    <t>Остали финансијски приходи</t>
  </si>
  <si>
    <t>ОСТАЛИ ПРИХОДИ</t>
  </si>
  <si>
    <t>ПРИХОДИ ОД УСКЛАЂИВАЊА ВРЕДНОСТИ ИМОВИНЕ</t>
  </si>
  <si>
    <t>Приходи од усклађивања вредности дугорочних финансијских пласмана и хартија од вредности расположивих за продају</t>
  </si>
  <si>
    <t>ДОБИТАК ПОСЛОВАЊА КОЈЕ СЕ ОБУСТАВЉА, ЕФЕКТИ ПРОМЕНЕ РАЧУНОВОДСТВЕНЕ ПОЛИТИКЕ, ИСПРАВКЕ ГРЕШАКА РАНИЈИХ ПЕРИОДА И ПРЕНОС ПРИХОДА</t>
  </si>
  <si>
    <t>Приходи од ефеката промене рачуноводствених политика</t>
  </si>
  <si>
    <t>692</t>
  </si>
  <si>
    <t>Приходи по основу исправки грешака из ранијих година које нису материјално значајне</t>
  </si>
  <si>
    <t>ОТВАРАЊЕ ГЛАВНЕ КЊИГЕ</t>
  </si>
  <si>
    <t>Отварање главне књиге</t>
  </si>
  <si>
    <t>ЗАКЉУЧАК РАЧУНА УСПЕХА</t>
  </si>
  <si>
    <t>Расходи и приходи</t>
  </si>
  <si>
    <t>Добитак и губитак пословања које се обуставља</t>
  </si>
  <si>
    <t>РАЧУН ДОБИТКА И ГУБИТКА</t>
  </si>
  <si>
    <t>ЗАКЉУЧАК РАЧУНА СТАЊА</t>
  </si>
  <si>
    <t>Изравнање рачуна стања</t>
  </si>
  <si>
    <t>СЛОБОДНА ГРУПА</t>
  </si>
  <si>
    <t>Туђа средства узета у оперативни лизинг (закуп)</t>
  </si>
  <si>
    <t>Преузети производи и роба за заједничко пословање</t>
  </si>
  <si>
    <t>Роба узета у комисион и консигнацију</t>
  </si>
  <si>
    <t>Материјал и роба примљени на обраду и дораду</t>
  </si>
  <si>
    <t>Дата јемства, гаранције и друга права</t>
  </si>
  <si>
    <t>885</t>
  </si>
  <si>
    <t>Хартије од вредности које су ван промета</t>
  </si>
  <si>
    <t>889</t>
  </si>
  <si>
    <t>Имовина код других субјеката</t>
  </si>
  <si>
    <t>Обавезе за средства узета у оперативни лизинг (закуп)</t>
  </si>
  <si>
    <t>Обавезе за преузете производе и робу за заједничко пословање</t>
  </si>
  <si>
    <t>Обавезе за робу узету у комисион и консигнацију</t>
  </si>
  <si>
    <t>Обавезе за материјал и робу примљену на обраду и дораду</t>
  </si>
  <si>
    <t>Обавезе за дата јемства, гаранције и друга права</t>
  </si>
  <si>
    <t>895</t>
  </si>
  <si>
    <t>Обавезе за хартије од вредности које су ван промета</t>
  </si>
  <si>
    <t>899</t>
  </si>
  <si>
    <t>Обавезе за имовину код других субјеката</t>
  </si>
  <si>
    <t>РАЧУНИ ОДНОСА С ФИНАНСИЈСКИМ КЊИГОВОДСТВОМ</t>
  </si>
  <si>
    <t>МАТЕРИЈАЛ И РОБА</t>
  </si>
  <si>
    <t>РАЧУНИ МЕСТА ТРОШКОВА НАБАВКЕ, ТЕХНИЧКЕ УПРАВЕ И ПОМОЋНИХ ДЕЛАТНОСТИ</t>
  </si>
  <si>
    <t>РАЧУНИ ГЛАВНИХ ПРОИЗВОДНИХ МЕСТА ТРОШКОВА</t>
  </si>
  <si>
    <t>РАЧУНИ МЕСТА ТРОШКОВА УПРАВЕ, ПРОДАЈЕ И СЛИЧНИХ АКТИВНОСТИ</t>
  </si>
  <si>
    <t>НОСИОЦИ ТРОШКОВА</t>
  </si>
  <si>
    <t>Полупроизводи сопствене производње</t>
  </si>
  <si>
    <t>Одступања у трошковима носиоца трошкова</t>
  </si>
  <si>
    <t>Одступања у трошковима готових производа</t>
  </si>
  <si>
    <t>РАСХОДИ И ПРИХОДИ</t>
  </si>
  <si>
    <t>Приходи по основу робе</t>
  </si>
  <si>
    <t>Други приходи</t>
  </si>
  <si>
    <t>РАЧУНИ ДОБИТКА, ГУБИТКА И ЗАКЉУЧКА</t>
  </si>
  <si>
    <t>Sifra</t>
  </si>
  <si>
    <t>_KK*</t>
  </si>
  <si>
    <t>=KONPLAN!$A$1:$B$51</t>
  </si>
  <si>
    <t>plan1</t>
  </si>
  <si>
    <t>=KONPLAN!$A$55:$B$97</t>
  </si>
  <si>
    <t>=KONPLAN!$A$100:$B$164</t>
  </si>
  <si>
    <t>=KONPLAN!$A$169:$B$199</t>
  </si>
  <si>
    <t>=KONPLAN!$A$203:$B$285</t>
  </si>
  <si>
    <t>=KONPLAN!$A$289:$B$368</t>
  </si>
  <si>
    <t>=KONPLAN!$A$372:$B$432</t>
  </si>
  <si>
    <t>=KONPLAN!$A$436:$B$451</t>
  </si>
  <si>
    <t>plan8</t>
  </si>
  <si>
    <t>=KONPLAN!$A$455:$B$474</t>
  </si>
  <si>
    <t>=KONPLAN!$A$479:$B$544</t>
  </si>
  <si>
    <t>Готови производи</t>
  </si>
</sst>
</file>

<file path=xl/styles.xml><?xml version="1.0" encoding="utf-8"?>
<styleSheet xmlns="http://schemas.openxmlformats.org/spreadsheetml/2006/main">
  <numFmts count="5">
    <numFmt numFmtId="164" formatCode="dd/mm/yyyy;@"/>
    <numFmt numFmtId="165" formatCode="_-* #,##0.00\ _S_I_T_-;\-* #,##0.00\ _S_I_T_-;_-* &quot;-&quot;??\ _S_I_T_-;_-@_-"/>
    <numFmt numFmtId="166" formatCode="mm/dd/yy"/>
    <numFmt numFmtId="167" formatCode="_-* #,##0.00_-;\-* #,##0.00_-;_-* &quot;-&quot;??_-;_-@_-"/>
    <numFmt numFmtId="168" formatCode=";;;"/>
  </numFmts>
  <fonts count="23">
    <font>
      <sz val="11"/>
      <color theme="1"/>
      <name val="Calibri"/>
      <family val="2"/>
      <charset val="238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0"/>
      <color indexed="10"/>
      <name val="Times New Roman"/>
      <family val="1"/>
    </font>
    <font>
      <sz val="10"/>
      <color indexed="12"/>
      <name val="Times New Roman"/>
      <family val="1"/>
    </font>
    <font>
      <b/>
      <sz val="10"/>
      <name val="Times Roman SC"/>
      <family val="1"/>
    </font>
    <font>
      <sz val="12"/>
      <color indexed="12"/>
      <name val="Times New Roman"/>
      <family val="1"/>
    </font>
    <font>
      <sz val="11"/>
      <name val="Times New Roman"/>
      <family val="1"/>
      <charset val="238"/>
    </font>
    <font>
      <sz val="11"/>
      <color rgb="FF000000"/>
      <name val="Times New Roman"/>
      <family val="1"/>
      <charset val="238"/>
    </font>
    <font>
      <sz val="12"/>
      <name val="Times New Roman"/>
      <family val="1"/>
    </font>
    <font>
      <b/>
      <sz val="12"/>
      <name val="Times New Roman"/>
      <family val="1"/>
    </font>
    <font>
      <b/>
      <sz val="12"/>
      <color indexed="12"/>
      <name val="Times New Roman"/>
      <family val="1"/>
    </font>
    <font>
      <sz val="12"/>
      <name val="Arial"/>
      <family val="2"/>
    </font>
    <font>
      <sz val="12"/>
      <name val="Arial CE"/>
      <charset val="238"/>
    </font>
    <font>
      <sz val="10"/>
      <name val="YUTAJM"/>
    </font>
    <font>
      <sz val="12"/>
      <name val="Arial Cyr"/>
      <family val="2"/>
      <charset val="204"/>
    </font>
    <font>
      <sz val="12"/>
      <color indexed="8"/>
      <name val="Arial"/>
      <family val="2"/>
      <charset val="204"/>
    </font>
    <font>
      <sz val="14"/>
      <name val="Arial CE"/>
    </font>
    <font>
      <sz val="14"/>
      <name val="Arial Cyr"/>
      <family val="2"/>
      <charset val="204"/>
    </font>
    <font>
      <sz val="12"/>
      <name val="Arial"/>
      <family val="2"/>
      <charset val="204"/>
    </font>
    <font>
      <sz val="14"/>
      <name val="Arial"/>
      <family val="2"/>
      <charset val="204"/>
    </font>
    <font>
      <sz val="12"/>
      <name val="Arial CE"/>
    </font>
    <font>
      <sz val="12"/>
      <color indexed="8"/>
      <name val="Arial Cyr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3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/>
      <right style="double">
        <color indexed="8"/>
      </right>
      <top/>
      <bottom style="double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thin">
        <color indexed="64"/>
      </bottom>
      <diagonal/>
    </border>
    <border>
      <left/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2" fillId="0" borderId="0"/>
    <xf numFmtId="0" fontId="14" fillId="0" borderId="0"/>
  </cellStyleXfs>
  <cellXfs count="242">
    <xf numFmtId="0" fontId="0" fillId="0" borderId="0" xfId="0"/>
    <xf numFmtId="0" fontId="2" fillId="0" borderId="0" xfId="0" quotePrefix="1" applyFont="1" applyAlignment="1">
      <alignment horizontal="left"/>
    </xf>
    <xf numFmtId="0" fontId="1" fillId="0" borderId="2" xfId="0" applyFont="1" applyBorder="1"/>
    <xf numFmtId="0" fontId="2" fillId="0" borderId="0" xfId="0" applyFont="1"/>
    <xf numFmtId="165" fontId="2" fillId="0" borderId="0" xfId="0" applyNumberFormat="1" applyFon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quotePrefix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NumberFormat="1" applyFont="1"/>
    <xf numFmtId="39" fontId="2" fillId="0" borderId="0" xfId="0" applyNumberFormat="1" applyFont="1"/>
    <xf numFmtId="164" fontId="2" fillId="0" borderId="0" xfId="0" applyNumberFormat="1" applyFont="1"/>
    <xf numFmtId="39" fontId="2" fillId="0" borderId="11" xfId="0" applyNumberFormat="1" applyFont="1" applyBorder="1"/>
    <xf numFmtId="0" fontId="2" fillId="0" borderId="0" xfId="0" applyFont="1" applyFill="1"/>
    <xf numFmtId="0" fontId="1" fillId="0" borderId="0" xfId="0" applyFont="1" applyFill="1"/>
    <xf numFmtId="0" fontId="2" fillId="0" borderId="0" xfId="0" quotePrefix="1" applyFont="1" applyFill="1"/>
    <xf numFmtId="0" fontId="2" fillId="0" borderId="0" xfId="0" applyFont="1" applyFill="1" applyAlignment="1">
      <alignment horizontal="center"/>
    </xf>
    <xf numFmtId="167" fontId="2" fillId="0" borderId="0" xfId="0" applyNumberFormat="1" applyFont="1" applyFill="1" applyBorder="1"/>
    <xf numFmtId="0" fontId="2" fillId="0" borderId="0" xfId="0" quotePrefix="1" applyFont="1"/>
    <xf numFmtId="0" fontId="2" fillId="0" borderId="0" xfId="0" applyFont="1" applyAlignment="1">
      <alignment horizontal="center"/>
    </xf>
    <xf numFmtId="0" fontId="2" fillId="0" borderId="0" xfId="0" quotePrefix="1" applyFont="1" applyAlignment="1">
      <alignment horizontal="right"/>
    </xf>
    <xf numFmtId="167" fontId="2" fillId="0" borderId="0" xfId="0" applyNumberFormat="1" applyFont="1" applyBorder="1"/>
    <xf numFmtId="166" fontId="2" fillId="0" borderId="0" xfId="0" applyNumberFormat="1" applyFont="1"/>
    <xf numFmtId="0" fontId="5" fillId="0" borderId="0" xfId="0" applyFont="1" applyAlignment="1">
      <alignment horizontal="center"/>
    </xf>
    <xf numFmtId="39" fontId="2" fillId="0" borderId="0" xfId="0" applyNumberFormat="1" applyFont="1"/>
    <xf numFmtId="39" fontId="0" fillId="0" borderId="0" xfId="0" applyNumberFormat="1"/>
    <xf numFmtId="0" fontId="2" fillId="0" borderId="0" xfId="0" applyFont="1" applyBorder="1"/>
    <xf numFmtId="39" fontId="2" fillId="0" borderId="0" xfId="0" applyNumberFormat="1" applyFont="1" applyBorder="1" applyProtection="1"/>
    <xf numFmtId="0" fontId="10" fillId="0" borderId="0" xfId="0" applyFont="1"/>
    <xf numFmtId="168" fontId="10" fillId="0" borderId="0" xfId="0" applyNumberFormat="1" applyFont="1" applyAlignment="1" applyProtection="1">
      <alignment horizontal="left"/>
    </xf>
    <xf numFmtId="168" fontId="10" fillId="0" borderId="0" xfId="0" applyNumberFormat="1" applyFont="1" applyProtection="1"/>
    <xf numFmtId="168" fontId="11" fillId="0" borderId="0" xfId="0" applyNumberFormat="1" applyFont="1" applyAlignment="1" applyProtection="1">
      <alignment horizontal="left"/>
      <protection locked="0"/>
    </xf>
    <xf numFmtId="164" fontId="10" fillId="0" borderId="0" xfId="0" applyNumberFormat="1" applyFont="1"/>
    <xf numFmtId="0" fontId="10" fillId="0" borderId="0" xfId="0" applyFont="1" applyAlignment="1" applyProtection="1">
      <alignment horizontal="left"/>
    </xf>
    <xf numFmtId="0" fontId="10" fillId="0" borderId="24" xfId="0" applyFont="1" applyBorder="1"/>
    <xf numFmtId="0" fontId="10" fillId="0" borderId="25" xfId="0" applyFont="1" applyBorder="1" applyAlignment="1" applyProtection="1">
      <alignment horizontal="left"/>
    </xf>
    <xf numFmtId="164" fontId="10" fillId="0" borderId="26" xfId="0" applyNumberFormat="1" applyFont="1" applyBorder="1"/>
    <xf numFmtId="0" fontId="10" fillId="0" borderId="26" xfId="0" applyFont="1" applyBorder="1"/>
    <xf numFmtId="0" fontId="10" fillId="0" borderId="27" xfId="0" applyFont="1" applyBorder="1"/>
    <xf numFmtId="39" fontId="1" fillId="0" borderId="13" xfId="0" applyNumberFormat="1" applyFont="1" applyBorder="1" applyProtection="1"/>
    <xf numFmtId="0" fontId="10" fillId="0" borderId="28" xfId="0" applyFont="1" applyBorder="1"/>
    <xf numFmtId="164" fontId="10" fillId="0" borderId="0" xfId="0" applyNumberFormat="1" applyFont="1" applyBorder="1"/>
    <xf numFmtId="0" fontId="10" fillId="0" borderId="0" xfId="0" applyFont="1" applyBorder="1"/>
    <xf numFmtId="0" fontId="10" fillId="0" borderId="29" xfId="0" applyFont="1" applyBorder="1"/>
    <xf numFmtId="0" fontId="10" fillId="0" borderId="13" xfId="0" applyFont="1" applyBorder="1" applyAlignment="1" applyProtection="1">
      <alignment horizontal="left"/>
    </xf>
    <xf numFmtId="0" fontId="2" fillId="0" borderId="24" xfId="0" applyFont="1" applyBorder="1"/>
    <xf numFmtId="164" fontId="10" fillId="0" borderId="24" xfId="0" applyNumberFormat="1" applyFont="1" applyBorder="1" applyProtection="1"/>
    <xf numFmtId="164" fontId="10" fillId="0" borderId="24" xfId="0" applyNumberFormat="1" applyFont="1" applyBorder="1"/>
    <xf numFmtId="0" fontId="10" fillId="0" borderId="30" xfId="0" applyFont="1" applyBorder="1"/>
    <xf numFmtId="0" fontId="10" fillId="0" borderId="13" xfId="0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/>
    </xf>
    <xf numFmtId="0" fontId="1" fillId="0" borderId="14" xfId="0" applyFont="1" applyBorder="1" applyAlignment="1" applyProtection="1">
      <alignment horizontal="center"/>
    </xf>
    <xf numFmtId="164" fontId="1" fillId="0" borderId="14" xfId="0" applyNumberFormat="1" applyFont="1" applyBorder="1" applyAlignment="1" applyProtection="1">
      <alignment horizontal="center"/>
    </xf>
    <xf numFmtId="164" fontId="1" fillId="0" borderId="13" xfId="0" applyNumberFormat="1" applyFont="1" applyBorder="1" applyAlignment="1" applyProtection="1">
      <alignment horizontal="center"/>
    </xf>
    <xf numFmtId="0" fontId="1" fillId="0" borderId="31" xfId="0" applyFont="1" applyBorder="1" applyAlignment="1" applyProtection="1">
      <alignment horizontal="center"/>
    </xf>
    <xf numFmtId="0" fontId="1" fillId="0" borderId="8" xfId="0" applyFont="1" applyBorder="1" applyAlignment="1" applyProtection="1">
      <alignment horizontal="center"/>
    </xf>
    <xf numFmtId="39" fontId="10" fillId="0" borderId="3" xfId="0" applyNumberFormat="1" applyFont="1" applyBorder="1" applyAlignment="1" applyProtection="1">
      <alignment horizontal="center"/>
    </xf>
    <xf numFmtId="164" fontId="10" fillId="0" borderId="32" xfId="0" applyNumberFormat="1" applyFont="1" applyBorder="1" applyAlignment="1" applyProtection="1">
      <alignment horizontal="center"/>
    </xf>
    <xf numFmtId="164" fontId="10" fillId="0" borderId="13" xfId="0" applyNumberFormat="1" applyFont="1" applyBorder="1" applyAlignment="1" applyProtection="1">
      <alignment horizontal="center"/>
    </xf>
    <xf numFmtId="164" fontId="2" fillId="2" borderId="4" xfId="0" applyNumberFormat="1" applyFont="1" applyFill="1" applyBorder="1" applyAlignment="1" applyProtection="1">
      <alignment horizontal="left"/>
    </xf>
    <xf numFmtId="164" fontId="2" fillId="3" borderId="14" xfId="0" applyNumberFormat="1" applyFont="1" applyFill="1" applyBorder="1" applyProtection="1">
      <protection locked="0"/>
    </xf>
    <xf numFmtId="0" fontId="2" fillId="0" borderId="33" xfId="0" applyFont="1" applyBorder="1" applyProtection="1"/>
    <xf numFmtId="39" fontId="2" fillId="0" borderId="17" xfId="0" applyNumberFormat="1" applyFont="1" applyBorder="1" applyProtection="1"/>
    <xf numFmtId="22" fontId="2" fillId="0" borderId="0" xfId="0" applyNumberFormat="1" applyFont="1"/>
    <xf numFmtId="164" fontId="2" fillId="2" borderId="7" xfId="0" applyNumberFormat="1" applyFont="1" applyFill="1" applyBorder="1" applyAlignment="1" applyProtection="1">
      <alignment horizontal="left"/>
    </xf>
    <xf numFmtId="164" fontId="2" fillId="3" borderId="17" xfId="0" applyNumberFormat="1" applyFont="1" applyFill="1" applyBorder="1" applyProtection="1">
      <protection locked="0"/>
    </xf>
    <xf numFmtId="0" fontId="2" fillId="0" borderId="34" xfId="0" applyFont="1" applyBorder="1" applyProtection="1"/>
    <xf numFmtId="164" fontId="6" fillId="3" borderId="17" xfId="0" applyNumberFormat="1" applyFont="1" applyFill="1" applyBorder="1" applyProtection="1">
      <protection locked="0"/>
    </xf>
    <xf numFmtId="0" fontId="10" fillId="0" borderId="0" xfId="0" applyNumberFormat="1" applyFont="1" applyAlignment="1" applyProtection="1">
      <alignment horizontal="left"/>
    </xf>
    <xf numFmtId="164" fontId="1" fillId="0" borderId="16" xfId="0" applyNumberFormat="1" applyFont="1" applyBorder="1" applyAlignment="1" applyProtection="1">
      <alignment horizontal="center"/>
    </xf>
    <xf numFmtId="0" fontId="2" fillId="0" borderId="5" xfId="0" applyFont="1" applyBorder="1"/>
    <xf numFmtId="0" fontId="2" fillId="0" borderId="7" xfId="0" applyFont="1" applyBorder="1"/>
    <xf numFmtId="0" fontId="2" fillId="0" borderId="36" xfId="0" applyFont="1" applyBorder="1"/>
    <xf numFmtId="0" fontId="2" fillId="0" borderId="22" xfId="0" applyFont="1" applyBorder="1"/>
    <xf numFmtId="0" fontId="2" fillId="0" borderId="23" xfId="0" applyFont="1" applyBorder="1"/>
    <xf numFmtId="0" fontId="13" fillId="0" borderId="0" xfId="1" applyNumberFormat="1" applyFont="1" applyAlignment="1"/>
    <xf numFmtId="0" fontId="13" fillId="0" borderId="0" xfId="1" applyFont="1"/>
    <xf numFmtId="0" fontId="13" fillId="0" borderId="0" xfId="1" applyNumberFormat="1" applyFont="1" applyAlignment="1">
      <alignment horizontal="right"/>
    </xf>
    <xf numFmtId="0" fontId="13" fillId="0" borderId="0" xfId="1" applyNumberFormat="1" applyFont="1" applyAlignment="1">
      <alignment horizontal="center"/>
    </xf>
    <xf numFmtId="15" fontId="13" fillId="0" borderId="0" xfId="1" applyNumberFormat="1" applyFont="1" applyAlignment="1"/>
    <xf numFmtId="0" fontId="13" fillId="0" borderId="37" xfId="1" applyNumberFormat="1" applyFont="1" applyBorder="1" applyAlignment="1"/>
    <xf numFmtId="4" fontId="13" fillId="0" borderId="0" xfId="1" applyNumberFormat="1" applyFont="1" applyAlignment="1"/>
    <xf numFmtId="0" fontId="1" fillId="0" borderId="0" xfId="2" applyFont="1" applyAlignment="1" applyProtection="1">
      <alignment horizontal="left"/>
    </xf>
    <xf numFmtId="0" fontId="2" fillId="0" borderId="0" xfId="2" applyFont="1"/>
    <xf numFmtId="168" fontId="2" fillId="0" borderId="0" xfId="2" applyNumberFormat="1" applyFont="1" applyProtection="1"/>
    <xf numFmtId="0" fontId="2" fillId="0" borderId="0" xfId="2" applyFont="1" applyAlignment="1" applyProtection="1">
      <alignment horizontal="left"/>
    </xf>
    <xf numFmtId="0" fontId="2" fillId="0" borderId="0" xfId="2" quotePrefix="1" applyFont="1" applyAlignment="1" applyProtection="1">
      <alignment horizontal="center"/>
    </xf>
    <xf numFmtId="0" fontId="2" fillId="0" borderId="0" xfId="2" applyFont="1" applyAlignment="1" applyProtection="1">
      <alignment horizontal="center"/>
    </xf>
    <xf numFmtId="168" fontId="2" fillId="0" borderId="0" xfId="2" applyNumberFormat="1" applyFont="1" applyAlignment="1" applyProtection="1">
      <alignment horizontal="left"/>
    </xf>
    <xf numFmtId="0" fontId="2" fillId="0" borderId="0" xfId="2" quotePrefix="1" applyFont="1" applyAlignment="1">
      <alignment horizontal="left"/>
    </xf>
    <xf numFmtId="0" fontId="1" fillId="0" borderId="14" xfId="2" applyFont="1" applyBorder="1" applyAlignment="1" applyProtection="1">
      <alignment horizontal="center" vertical="center"/>
    </xf>
    <xf numFmtId="0" fontId="1" fillId="0" borderId="40" xfId="2" applyFont="1" applyBorder="1" applyAlignment="1" applyProtection="1">
      <alignment horizontal="center"/>
    </xf>
    <xf numFmtId="0" fontId="1" fillId="0" borderId="17" xfId="2" applyFont="1" applyBorder="1" applyAlignment="1" applyProtection="1">
      <alignment horizontal="center"/>
    </xf>
    <xf numFmtId="0" fontId="1" fillId="0" borderId="17" xfId="2" quotePrefix="1" applyFont="1" applyBorder="1" applyAlignment="1" applyProtection="1">
      <alignment horizontal="center"/>
    </xf>
    <xf numFmtId="0" fontId="2" fillId="0" borderId="1" xfId="2" applyFont="1" applyBorder="1" applyAlignment="1" applyProtection="1">
      <alignment horizontal="fill"/>
    </xf>
    <xf numFmtId="0" fontId="6" fillId="0" borderId="20" xfId="2" applyFont="1" applyBorder="1" applyAlignment="1" applyProtection="1">
      <alignment horizontal="right"/>
      <protection locked="0"/>
    </xf>
    <xf numFmtId="0" fontId="7" fillId="0" borderId="4" xfId="2" applyFont="1" applyBorder="1" applyAlignment="1">
      <alignment wrapText="1"/>
    </xf>
    <xf numFmtId="39" fontId="2" fillId="0" borderId="1" xfId="2" applyNumberFormat="1" applyFont="1" applyBorder="1" applyProtection="1"/>
    <xf numFmtId="0" fontId="2" fillId="0" borderId="21" xfId="2" applyFont="1" applyBorder="1"/>
    <xf numFmtId="0" fontId="6" fillId="0" borderId="0" xfId="2" applyFont="1" applyBorder="1" applyAlignment="1" applyProtection="1">
      <alignment horizontal="right"/>
      <protection locked="0"/>
    </xf>
    <xf numFmtId="0" fontId="8" fillId="0" borderId="0" xfId="2" applyFont="1"/>
    <xf numFmtId="39" fontId="2" fillId="0" borderId="21" xfId="2" applyNumberFormat="1" applyFont="1" applyBorder="1" applyProtection="1"/>
    <xf numFmtId="0" fontId="2" fillId="0" borderId="0" xfId="2" applyNumberFormat="1" applyFont="1"/>
    <xf numFmtId="0" fontId="9" fillId="0" borderId="7" xfId="2" applyFont="1" applyBorder="1" applyAlignment="1" applyProtection="1">
      <alignment horizontal="left" wrapText="1"/>
      <protection locked="0"/>
    </xf>
    <xf numFmtId="0" fontId="2" fillId="0" borderId="0" xfId="2" applyFont="1" applyAlignment="1">
      <alignment horizontal="left"/>
    </xf>
    <xf numFmtId="0" fontId="2" fillId="0" borderId="21" xfId="2" quotePrefix="1" applyFont="1" applyBorder="1" applyAlignment="1">
      <alignment horizontal="left"/>
    </xf>
    <xf numFmtId="0" fontId="2" fillId="0" borderId="11" xfId="2" applyFont="1" applyBorder="1"/>
    <xf numFmtId="0" fontId="6" fillId="0" borderId="22" xfId="2" applyFont="1" applyBorder="1" applyAlignment="1" applyProtection="1">
      <alignment horizontal="right"/>
      <protection locked="0"/>
    </xf>
    <xf numFmtId="0" fontId="8" fillId="0" borderId="23" xfId="2" applyFont="1" applyBorder="1"/>
    <xf numFmtId="39" fontId="2" fillId="0" borderId="11" xfId="2" applyNumberFormat="1" applyFont="1" applyBorder="1" applyProtection="1"/>
    <xf numFmtId="0" fontId="2" fillId="0" borderId="0" xfId="2" applyFont="1" applyBorder="1"/>
    <xf numFmtId="39" fontId="2" fillId="0" borderId="0" xfId="2" applyNumberFormat="1" applyFont="1" applyBorder="1" applyProtection="1"/>
    <xf numFmtId="0" fontId="2" fillId="0" borderId="5" xfId="2" applyFont="1" applyBorder="1"/>
    <xf numFmtId="0" fontId="2" fillId="0" borderId="7" xfId="2" applyFont="1" applyBorder="1"/>
    <xf numFmtId="0" fontId="1" fillId="0" borderId="11" xfId="2" applyFont="1" applyBorder="1"/>
    <xf numFmtId="0" fontId="0" fillId="0" borderId="0" xfId="0" applyBorder="1"/>
    <xf numFmtId="0" fontId="2" fillId="5" borderId="0" xfId="0" applyFont="1" applyFill="1"/>
    <xf numFmtId="0" fontId="5" fillId="0" borderId="2" xfId="0" applyFont="1" applyBorder="1"/>
    <xf numFmtId="0" fontId="2" fillId="6" borderId="8" xfId="2" applyFont="1" applyFill="1" applyBorder="1"/>
    <xf numFmtId="0" fontId="2" fillId="6" borderId="10" xfId="2" applyFont="1" applyFill="1" applyBorder="1"/>
    <xf numFmtId="0" fontId="2" fillId="6" borderId="3" xfId="2" applyFont="1" applyFill="1" applyBorder="1"/>
    <xf numFmtId="39" fontId="1" fillId="0" borderId="2" xfId="0" applyNumberFormat="1" applyFont="1" applyBorder="1"/>
    <xf numFmtId="39" fontId="10" fillId="0" borderId="0" xfId="0" applyNumberFormat="1" applyFont="1" applyAlignment="1" applyProtection="1">
      <alignment horizontal="left"/>
    </xf>
    <xf numFmtId="39" fontId="10" fillId="0" borderId="0" xfId="0" applyNumberFormat="1" applyFont="1"/>
    <xf numFmtId="39" fontId="10" fillId="0" borderId="0" xfId="0" applyNumberFormat="1" applyFont="1" applyProtection="1"/>
    <xf numFmtId="39" fontId="11" fillId="0" borderId="0" xfId="0" applyNumberFormat="1" applyFont="1" applyAlignment="1" applyProtection="1">
      <alignment horizontal="left"/>
      <protection locked="0"/>
    </xf>
    <xf numFmtId="39" fontId="1" fillId="0" borderId="13" xfId="0" applyNumberFormat="1" applyFont="1" applyBorder="1" applyProtection="1"/>
    <xf numFmtId="39" fontId="2" fillId="2" borderId="0" xfId="0" applyNumberFormat="1" applyFont="1" applyFill="1" applyProtection="1"/>
    <xf numFmtId="39" fontId="10" fillId="0" borderId="3" xfId="0" applyNumberFormat="1" applyFont="1" applyBorder="1" applyAlignment="1" applyProtection="1">
      <alignment horizontal="center"/>
    </xf>
    <xf numFmtId="39" fontId="2" fillId="0" borderId="17" xfId="0" applyNumberFormat="1" applyFont="1" applyBorder="1" applyProtection="1"/>
    <xf numFmtId="39" fontId="2" fillId="0" borderId="0" xfId="0" applyNumberFormat="1" applyFont="1" applyBorder="1" applyProtection="1"/>
    <xf numFmtId="39" fontId="6" fillId="3" borderId="19" xfId="0" applyNumberFormat="1" applyFont="1" applyFill="1" applyBorder="1" applyProtection="1">
      <protection locked="0"/>
    </xf>
    <xf numFmtId="39" fontId="2" fillId="3" borderId="19" xfId="0" applyNumberFormat="1" applyFont="1" applyFill="1" applyBorder="1" applyProtection="1">
      <protection locked="0"/>
    </xf>
    <xf numFmtId="39" fontId="2" fillId="0" borderId="0" xfId="0" applyNumberFormat="1" applyFont="1"/>
    <xf numFmtId="39" fontId="10" fillId="4" borderId="2" xfId="0" applyNumberFormat="1" applyFont="1" applyFill="1" applyBorder="1" applyAlignment="1" applyProtection="1">
      <alignment horizontal="left"/>
    </xf>
    <xf numFmtId="0" fontId="2" fillId="0" borderId="27" xfId="0" applyFont="1" applyBorder="1" applyProtection="1"/>
    <xf numFmtId="0" fontId="2" fillId="0" borderId="29" xfId="0" applyFont="1" applyBorder="1" applyProtection="1"/>
    <xf numFmtId="0" fontId="1" fillId="0" borderId="15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49" fontId="2" fillId="7" borderId="2" xfId="0" applyNumberFormat="1" applyFont="1" applyFill="1" applyBorder="1" applyAlignment="1" applyProtection="1">
      <alignment horizontal="left"/>
      <protection locked="0"/>
    </xf>
    <xf numFmtId="49" fontId="4" fillId="7" borderId="2" xfId="0" applyNumberFormat="1" applyFont="1" applyFill="1" applyBorder="1" applyAlignment="1" applyProtection="1">
      <alignment horizontal="left"/>
      <protection locked="0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10" borderId="2" xfId="0" quotePrefix="1" applyFont="1" applyFill="1" applyBorder="1" applyAlignment="1">
      <alignment horizontal="left"/>
    </xf>
    <xf numFmtId="39" fontId="1" fillId="4" borderId="12" xfId="0" applyNumberFormat="1" applyFont="1" applyFill="1" applyBorder="1"/>
    <xf numFmtId="0" fontId="1" fillId="4" borderId="12" xfId="0" applyFont="1" applyFill="1" applyBorder="1"/>
    <xf numFmtId="39" fontId="1" fillId="9" borderId="12" xfId="0" applyNumberFormat="1" applyFont="1" applyFill="1" applyBorder="1"/>
    <xf numFmtId="0" fontId="1" fillId="9" borderId="12" xfId="0" applyFont="1" applyFill="1" applyBorder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12" xfId="0" quotePrefix="1" applyFont="1" applyFill="1" applyBorder="1" applyAlignment="1">
      <alignment horizontal="center"/>
    </xf>
    <xf numFmtId="49" fontId="2" fillId="7" borderId="44" xfId="0" applyNumberFormat="1" applyFont="1" applyFill="1" applyBorder="1"/>
    <xf numFmtId="164" fontId="2" fillId="7" borderId="44" xfId="0" applyNumberFormat="1" applyFont="1" applyFill="1" applyBorder="1" applyAlignment="1" applyProtection="1">
      <alignment horizontal="left"/>
    </xf>
    <xf numFmtId="39" fontId="2" fillId="7" borderId="44" xfId="0" applyNumberFormat="1" applyFont="1" applyFill="1" applyBorder="1" applyProtection="1"/>
    <xf numFmtId="164" fontId="2" fillId="7" borderId="44" xfId="0" applyNumberFormat="1" applyFont="1" applyFill="1" applyBorder="1" applyProtection="1">
      <protection locked="0"/>
    </xf>
    <xf numFmtId="49" fontId="6" fillId="7" borderId="45" xfId="0" quotePrefix="1" applyNumberFormat="1" applyFont="1" applyFill="1" applyBorder="1" applyAlignment="1" applyProtection="1">
      <alignment horizontal="left"/>
      <protection locked="0"/>
    </xf>
    <xf numFmtId="49" fontId="2" fillId="7" borderId="47" xfId="0" applyNumberFormat="1" applyFont="1" applyFill="1" applyBorder="1"/>
    <xf numFmtId="164" fontId="2" fillId="7" borderId="47" xfId="0" applyNumberFormat="1" applyFont="1" applyFill="1" applyBorder="1" applyAlignment="1" applyProtection="1">
      <alignment horizontal="left"/>
    </xf>
    <xf numFmtId="39" fontId="2" fillId="7" borderId="47" xfId="0" applyNumberFormat="1" applyFont="1" applyFill="1" applyBorder="1" applyProtection="1"/>
    <xf numFmtId="164" fontId="2" fillId="7" borderId="47" xfId="0" applyNumberFormat="1" applyFont="1" applyFill="1" applyBorder="1" applyProtection="1">
      <protection locked="0"/>
    </xf>
    <xf numFmtId="49" fontId="6" fillId="7" borderId="48" xfId="0" quotePrefix="1" applyNumberFormat="1" applyFont="1" applyFill="1" applyBorder="1" applyAlignment="1" applyProtection="1">
      <alignment horizontal="left"/>
      <protection locked="0"/>
    </xf>
    <xf numFmtId="0" fontId="2" fillId="8" borderId="35" xfId="0" applyFont="1" applyFill="1" applyBorder="1" applyAlignment="1" applyProtection="1">
      <alignment horizontal="left"/>
    </xf>
    <xf numFmtId="164" fontId="2" fillId="8" borderId="35" xfId="0" applyNumberFormat="1" applyFont="1" applyFill="1" applyBorder="1" applyAlignment="1" applyProtection="1">
      <alignment horizontal="fill"/>
    </xf>
    <xf numFmtId="164" fontId="2" fillId="8" borderId="35" xfId="0" applyNumberFormat="1" applyFont="1" applyFill="1" applyBorder="1" applyAlignment="1" applyProtection="1">
      <alignment horizontal="left"/>
    </xf>
    <xf numFmtId="39" fontId="2" fillId="8" borderId="35" xfId="0" applyNumberFormat="1" applyFont="1" applyFill="1" applyBorder="1" applyAlignment="1" applyProtection="1">
      <alignment horizontal="fill"/>
    </xf>
    <xf numFmtId="39" fontId="2" fillId="8" borderId="35" xfId="0" applyNumberFormat="1" applyFont="1" applyFill="1" applyBorder="1" applyAlignment="1" applyProtection="1">
      <alignment horizontal="left"/>
    </xf>
    <xf numFmtId="49" fontId="2" fillId="7" borderId="0" xfId="0" quotePrefix="1" applyNumberFormat="1" applyFont="1" applyFill="1" applyAlignment="1" applyProtection="1">
      <alignment horizontal="left"/>
      <protection locked="0"/>
    </xf>
    <xf numFmtId="49" fontId="2" fillId="7" borderId="1" xfId="0" quotePrefix="1" applyNumberFormat="1" applyFont="1" applyFill="1" applyBorder="1" applyAlignment="1" applyProtection="1">
      <alignment horizontal="left"/>
      <protection locked="0"/>
    </xf>
    <xf numFmtId="164" fontId="2" fillId="7" borderId="4" xfId="0" applyNumberFormat="1" applyFont="1" applyFill="1" applyBorder="1" applyAlignment="1" applyProtection="1">
      <alignment horizontal="left"/>
    </xf>
    <xf numFmtId="39" fontId="2" fillId="7" borderId="0" xfId="0" applyNumberFormat="1" applyFont="1" applyFill="1" applyProtection="1"/>
    <xf numFmtId="164" fontId="2" fillId="7" borderId="14" xfId="0" applyNumberFormat="1" applyFont="1" applyFill="1" applyBorder="1" applyProtection="1">
      <protection locked="0"/>
    </xf>
    <xf numFmtId="49" fontId="6" fillId="7" borderId="19" xfId="0" quotePrefix="1" applyNumberFormat="1" applyFont="1" applyFill="1" applyBorder="1" applyAlignment="1" applyProtection="1">
      <alignment horizontal="left"/>
      <protection locked="0"/>
    </xf>
    <xf numFmtId="49" fontId="2" fillId="7" borderId="21" xfId="0" quotePrefix="1" applyNumberFormat="1" applyFont="1" applyFill="1" applyBorder="1" applyAlignment="1" applyProtection="1">
      <alignment horizontal="left"/>
      <protection locked="0"/>
    </xf>
    <xf numFmtId="164" fontId="2" fillId="7" borderId="7" xfId="0" applyNumberFormat="1" applyFont="1" applyFill="1" applyBorder="1" applyAlignment="1" applyProtection="1">
      <alignment horizontal="left"/>
    </xf>
    <xf numFmtId="164" fontId="2" fillId="7" borderId="17" xfId="0" applyNumberFormat="1" applyFont="1" applyFill="1" applyBorder="1" applyProtection="1">
      <protection locked="0"/>
    </xf>
    <xf numFmtId="49" fontId="2" fillId="7" borderId="0" xfId="0" applyNumberFormat="1" applyFont="1" applyFill="1" applyAlignment="1" applyProtection="1">
      <alignment horizontal="left"/>
      <protection locked="0"/>
    </xf>
    <xf numFmtId="49" fontId="6" fillId="7" borderId="18" xfId="0" applyNumberFormat="1" applyFont="1" applyFill="1" applyBorder="1" applyProtection="1">
      <protection locked="0"/>
    </xf>
    <xf numFmtId="49" fontId="6" fillId="7" borderId="21" xfId="0" applyNumberFormat="1" applyFont="1" applyFill="1" applyBorder="1" applyProtection="1">
      <protection locked="0"/>
    </xf>
    <xf numFmtId="39" fontId="6" fillId="7" borderId="19" xfId="0" applyNumberFormat="1" applyFont="1" applyFill="1" applyBorder="1" applyProtection="1">
      <protection locked="0"/>
    </xf>
    <xf numFmtId="164" fontId="6" fillId="7" borderId="17" xfId="0" applyNumberFormat="1" applyFont="1" applyFill="1" applyBorder="1" applyProtection="1">
      <protection locked="0"/>
    </xf>
    <xf numFmtId="164" fontId="6" fillId="7" borderId="7" xfId="0" applyNumberFormat="1" applyFont="1" applyFill="1" applyBorder="1" applyProtection="1">
      <protection locked="0"/>
    </xf>
    <xf numFmtId="0" fontId="15" fillId="0" borderId="0" xfId="0" applyNumberFormat="1" applyFont="1" applyAlignment="1">
      <alignment vertical="top" wrapText="1"/>
    </xf>
    <xf numFmtId="0" fontId="16" fillId="0" borderId="0" xfId="0" applyNumberFormat="1" applyFont="1" applyAlignment="1">
      <alignment horizontal="right" vertical="top" wrapText="1"/>
    </xf>
    <xf numFmtId="0" fontId="17" fillId="0" borderId="0" xfId="0" applyNumberFormat="1" applyFont="1" applyAlignment="1"/>
    <xf numFmtId="0" fontId="18" fillId="0" borderId="0" xfId="0" applyNumberFormat="1" applyFont="1" applyAlignment="1"/>
    <xf numFmtId="0" fontId="19" fillId="0" borderId="0" xfId="0" applyNumberFormat="1" applyFont="1" applyAlignment="1">
      <alignment vertical="top" wrapText="1"/>
    </xf>
    <xf numFmtId="0" fontId="20" fillId="0" borderId="0" xfId="0" applyNumberFormat="1" applyFont="1" applyAlignment="1"/>
    <xf numFmtId="0" fontId="21" fillId="0" borderId="0" xfId="0" applyNumberFormat="1" applyFont="1" applyAlignment="1"/>
    <xf numFmtId="0" fontId="15" fillId="0" borderId="0" xfId="0" applyNumberFormat="1" applyFont="1" applyAlignment="1"/>
    <xf numFmtId="0" fontId="22" fillId="0" borderId="0" xfId="0" applyNumberFormat="1" applyFont="1" applyAlignment="1">
      <alignment horizontal="right" vertical="top" wrapText="1"/>
    </xf>
    <xf numFmtId="0" fontId="22" fillId="0" borderId="0" xfId="0" applyNumberFormat="1" applyFont="1" applyAlignment="1">
      <alignment vertical="top" wrapText="1"/>
    </xf>
    <xf numFmtId="39" fontId="2" fillId="0" borderId="0" xfId="2" applyNumberFormat="1" applyFont="1"/>
    <xf numFmtId="39" fontId="2" fillId="0" borderId="0" xfId="2" quotePrefix="1" applyNumberFormat="1" applyFont="1" applyAlignment="1">
      <alignment horizontal="right"/>
    </xf>
    <xf numFmtId="49" fontId="2" fillId="0" borderId="0" xfId="0" applyNumberFormat="1" applyFont="1"/>
    <xf numFmtId="49" fontId="2" fillId="0" borderId="0" xfId="2" quotePrefix="1" applyNumberFormat="1" applyFont="1"/>
    <xf numFmtId="49" fontId="0" fillId="0" borderId="0" xfId="0" applyNumberFormat="1"/>
    <xf numFmtId="49" fontId="2" fillId="0" borderId="0" xfId="2" applyNumberFormat="1" applyFont="1"/>
    <xf numFmtId="49" fontId="2" fillId="0" borderId="0" xfId="2" applyNumberFormat="1" applyFont="1" applyAlignment="1" applyProtection="1">
      <alignment horizontal="left"/>
      <protection locked="0"/>
    </xf>
    <xf numFmtId="49" fontId="2" fillId="0" borderId="0" xfId="2" quotePrefix="1" applyNumberFormat="1" applyFont="1" applyAlignment="1" applyProtection="1">
      <alignment horizontal="left"/>
      <protection locked="0"/>
    </xf>
    <xf numFmtId="49" fontId="2" fillId="0" borderId="0" xfId="2" quotePrefix="1" applyNumberFormat="1" applyFont="1" applyAlignment="1">
      <alignment horizontal="left"/>
    </xf>
    <xf numFmtId="49" fontId="2" fillId="0" borderId="0" xfId="2" applyNumberFormat="1" applyFont="1" applyAlignment="1">
      <alignment horizontal="center"/>
    </xf>
    <xf numFmtId="49" fontId="2" fillId="0" borderId="0" xfId="2" applyNumberFormat="1" applyFont="1" applyFill="1" applyBorder="1" applyAlignment="1" applyProtection="1">
      <alignment horizontal="left"/>
      <protection locked="0"/>
    </xf>
    <xf numFmtId="49" fontId="2" fillId="0" borderId="0" xfId="2" quotePrefix="1" applyNumberFormat="1" applyFont="1" applyAlignment="1">
      <alignment horizontal="center"/>
    </xf>
    <xf numFmtId="49" fontId="4" fillId="0" borderId="0" xfId="0" applyNumberFormat="1" applyFont="1" applyFill="1" applyBorder="1" applyAlignment="1" applyProtection="1">
      <alignment horizontal="left"/>
      <protection locked="0"/>
    </xf>
    <xf numFmtId="49" fontId="2" fillId="0" borderId="1" xfId="2" applyNumberFormat="1" applyFont="1" applyBorder="1" applyAlignment="1" applyProtection="1">
      <alignment horizontal="fill"/>
    </xf>
    <xf numFmtId="49" fontId="2" fillId="0" borderId="21" xfId="2" applyNumberFormat="1" applyFont="1" applyBorder="1"/>
    <xf numFmtId="49" fontId="2" fillId="0" borderId="21" xfId="2" quotePrefix="1" applyNumberFormat="1" applyFont="1" applyBorder="1" applyAlignment="1">
      <alignment horizontal="left"/>
    </xf>
    <xf numFmtId="49" fontId="2" fillId="0" borderId="11" xfId="2" applyNumberFormat="1" applyFont="1" applyBorder="1"/>
    <xf numFmtId="49" fontId="2" fillId="7" borderId="43" xfId="0" applyNumberFormat="1" applyFont="1" applyFill="1" applyBorder="1" applyAlignment="1" applyProtection="1">
      <alignment horizontal="left"/>
      <protection locked="0"/>
    </xf>
    <xf numFmtId="49" fontId="2" fillId="7" borderId="46" xfId="0" quotePrefix="1" applyNumberFormat="1" applyFont="1" applyFill="1" applyBorder="1" applyAlignment="1" applyProtection="1">
      <alignment horizontal="left"/>
      <protection locked="0"/>
    </xf>
    <xf numFmtId="49" fontId="2" fillId="7" borderId="46" xfId="0" applyNumberFormat="1" applyFont="1" applyFill="1" applyBorder="1" applyAlignment="1" applyProtection="1">
      <alignment horizontal="left"/>
      <protection locked="0"/>
    </xf>
    <xf numFmtId="49" fontId="2" fillId="8" borderId="35" xfId="0" applyNumberFormat="1" applyFont="1" applyFill="1" applyBorder="1" applyAlignment="1" applyProtection="1">
      <alignment horizontal="left"/>
    </xf>
    <xf numFmtId="0" fontId="1" fillId="0" borderId="10" xfId="0" quotePrefix="1" applyFont="1" applyBorder="1" applyAlignment="1">
      <alignment horizontal="right"/>
    </xf>
    <xf numFmtId="0" fontId="2" fillId="0" borderId="10" xfId="0" quotePrefix="1" applyFont="1" applyBorder="1" applyAlignment="1">
      <alignment horizontal="left"/>
    </xf>
    <xf numFmtId="49" fontId="2" fillId="7" borderId="2" xfId="0" applyNumberFormat="1" applyFont="1" applyFill="1" applyBorder="1" applyProtection="1">
      <protection locked="0"/>
    </xf>
    <xf numFmtId="164" fontId="2" fillId="7" borderId="2" xfId="0" applyNumberFormat="1" applyFont="1" applyFill="1" applyBorder="1" applyAlignment="1" applyProtection="1">
      <alignment horizontal="right"/>
      <protection locked="0"/>
    </xf>
    <xf numFmtId="49" fontId="2" fillId="7" borderId="49" xfId="0" applyNumberFormat="1" applyFont="1" applyFill="1" applyBorder="1" applyProtection="1">
      <protection locked="0"/>
    </xf>
    <xf numFmtId="49" fontId="2" fillId="7" borderId="5" xfId="0" applyNumberFormat="1" applyFont="1" applyFill="1" applyBorder="1" applyProtection="1">
      <protection locked="0"/>
    </xf>
    <xf numFmtId="39" fontId="2" fillId="7" borderId="6" xfId="0" applyNumberFormat="1" applyFont="1" applyFill="1" applyBorder="1" applyProtection="1">
      <protection locked="0"/>
    </xf>
    <xf numFmtId="49" fontId="2" fillId="7" borderId="6" xfId="0" applyNumberFormat="1" applyFont="1" applyFill="1" applyBorder="1" applyProtection="1">
      <protection locked="0"/>
    </xf>
    <xf numFmtId="49" fontId="2" fillId="7" borderId="7" xfId="0" applyNumberFormat="1" applyFont="1" applyFill="1" applyBorder="1" applyProtection="1">
      <protection locked="0"/>
    </xf>
    <xf numFmtId="0" fontId="2" fillId="7" borderId="2" xfId="0" quotePrefix="1" applyFont="1" applyFill="1" applyBorder="1" applyAlignment="1">
      <alignment horizontal="left"/>
    </xf>
    <xf numFmtId="0" fontId="4" fillId="7" borderId="13" xfId="2" applyFont="1" applyFill="1" applyBorder="1" applyProtection="1">
      <protection locked="0"/>
    </xf>
    <xf numFmtId="164" fontId="4" fillId="7" borderId="13" xfId="2" applyNumberFormat="1" applyFont="1" applyFill="1" applyBorder="1" applyAlignment="1" applyProtection="1">
      <alignment horizontal="fill"/>
      <protection locked="0"/>
    </xf>
    <xf numFmtId="49" fontId="4" fillId="7" borderId="13" xfId="2" applyNumberFormat="1" applyFont="1" applyFill="1" applyBorder="1" applyProtection="1">
      <protection locked="0"/>
    </xf>
    <xf numFmtId="0" fontId="3" fillId="11" borderId="8" xfId="0" applyFont="1" applyFill="1" applyBorder="1"/>
    <xf numFmtId="165" fontId="3" fillId="11" borderId="9" xfId="0" applyNumberFormat="1" applyFont="1" applyFill="1" applyBorder="1"/>
    <xf numFmtId="0" fontId="3" fillId="11" borderId="9" xfId="0" applyFont="1" applyFill="1" applyBorder="1"/>
    <xf numFmtId="49" fontId="3" fillId="11" borderId="3" xfId="0" applyNumberFormat="1" applyFont="1" applyFill="1" applyBorder="1"/>
    <xf numFmtId="0" fontId="3" fillId="11" borderId="10" xfId="0" applyFont="1" applyFill="1" applyBorder="1"/>
    <xf numFmtId="166" fontId="3" fillId="11" borderId="10" xfId="0" applyNumberFormat="1" applyFont="1" applyFill="1" applyBorder="1"/>
    <xf numFmtId="165" fontId="3" fillId="11" borderId="10" xfId="0" applyNumberFormat="1" applyFont="1" applyFill="1" applyBorder="1"/>
    <xf numFmtId="0" fontId="3" fillId="11" borderId="3" xfId="0" applyFont="1" applyFill="1" applyBorder="1"/>
    <xf numFmtId="164" fontId="2" fillId="0" borderId="0" xfId="2" applyNumberFormat="1" applyFont="1"/>
    <xf numFmtId="0" fontId="18" fillId="0" borderId="0" xfId="0" applyNumberFormat="1" applyFont="1" applyAlignment="1">
      <alignment horizontal="left"/>
    </xf>
    <xf numFmtId="0" fontId="1" fillId="0" borderId="15" xfId="2" applyFont="1" applyBorder="1" applyAlignment="1" applyProtection="1">
      <alignment horizontal="center" vertical="center"/>
    </xf>
    <xf numFmtId="0" fontId="1" fillId="0" borderId="16" xfId="2" applyFont="1" applyBorder="1" applyAlignment="1" applyProtection="1">
      <alignment horizontal="center" vertical="center"/>
    </xf>
    <xf numFmtId="0" fontId="1" fillId="0" borderId="41" xfId="2" applyFont="1" applyBorder="1" applyAlignment="1" applyProtection="1">
      <alignment horizontal="center" vertical="center"/>
    </xf>
    <xf numFmtId="0" fontId="1" fillId="0" borderId="42" xfId="2" applyFont="1" applyBorder="1" applyAlignment="1" applyProtection="1">
      <alignment horizontal="center" vertical="center"/>
    </xf>
    <xf numFmtId="0" fontId="1" fillId="0" borderId="38" xfId="2" applyFont="1" applyBorder="1" applyAlignment="1" applyProtection="1">
      <alignment horizontal="center"/>
    </xf>
    <xf numFmtId="0" fontId="1" fillId="0" borderId="39" xfId="2" applyFont="1" applyBorder="1" applyAlignment="1" applyProtection="1">
      <alignment horizontal="center"/>
    </xf>
  </cellXfs>
  <cellStyles count="3">
    <cellStyle name="Normal" xfId="0" builtinId="0"/>
    <cellStyle name="Normal 2" xfId="2"/>
    <cellStyle name="Normal_ios" xfId="1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sr-Latn-CS"/>
              <a:t>OČEKIVANI PRILIV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PRILIV</c:v>
          </c:tx>
          <c:val>
            <c:numRef>
              <c:f>ULIV!$J$5:$AN$5</c:f>
              <c:numCache>
                <c:formatCode>#,##0.00\ _€;\-#,##0.00\ _€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axId val="129613824"/>
        <c:axId val="129615744"/>
      </c:barChart>
      <c:catAx>
        <c:axId val="1296138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</a:t>
                </a:r>
                <a:r>
                  <a:rPr lang="sr-Latn-CS"/>
                  <a:t>ANA</a:t>
                </a:r>
              </a:p>
            </c:rich>
          </c:tx>
        </c:title>
        <c:tickLblPos val="nextTo"/>
        <c:crossAx val="129615744"/>
        <c:crosses val="autoZero"/>
        <c:auto val="1"/>
        <c:lblAlgn val="ctr"/>
        <c:lblOffset val="100"/>
      </c:catAx>
      <c:valAx>
        <c:axId val="1296157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DINARA</a:t>
                </a:r>
              </a:p>
            </c:rich>
          </c:tx>
        </c:title>
        <c:numFmt formatCode="#,##0.00\ _€;\-#,##0.00\ _€" sourceLinked="1"/>
        <c:tickLblPos val="nextTo"/>
        <c:crossAx val="129613824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r"/>
    </c:legend>
    <c:plotVisOnly val="1"/>
  </c:chart>
  <c:spPr>
    <a:solidFill>
      <a:schemeClr val="bg1">
        <a:lumMod val="85000"/>
      </a:schemeClr>
    </a:solidFill>
    <a:effectLst>
      <a:innerShdw blurRad="63500" dist="50800" dir="13500000">
        <a:prstClr val="black">
          <a:alpha val="50000"/>
        </a:prstClr>
      </a:innerShdw>
    </a:effectLst>
    <a:scene3d>
      <a:camera prst="orthographicFront"/>
      <a:lightRig rig="morning" dir="t"/>
    </a:scene3d>
    <a:sp3d prstMaterial="matte">
      <a:bevelT/>
      <a:bevelB/>
    </a:sp3d>
  </c:spPr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DINAMIKA OČEKIVANE LIKVIDNOSTI</a:t>
            </a:r>
          </a:p>
        </c:rich>
      </c:tx>
    </c:title>
    <c:plotArea>
      <c:layout>
        <c:manualLayout>
          <c:layoutTarget val="inner"/>
          <c:xMode val="edge"/>
          <c:yMode val="edge"/>
          <c:x val="0.10344110350119202"/>
          <c:y val="9.3634678183964773E-2"/>
          <c:w val="0.74207774289310535"/>
          <c:h val="0.78689873205906413"/>
        </c:manualLayout>
      </c:layout>
      <c:barChart>
        <c:barDir val="col"/>
        <c:grouping val="clustered"/>
        <c:ser>
          <c:idx val="1"/>
          <c:order val="1"/>
          <c:tx>
            <c:strRef>
              <c:f>ODLIV!$J$4</c:f>
              <c:strCache>
                <c:ptCount val="1"/>
                <c:pt idx="0">
                  <c:v>УКУПАН ОЧЕКИВАНИ ПРИЛИВ</c:v>
                </c:pt>
              </c:strCache>
            </c:strRef>
          </c:tx>
          <c:val>
            <c:numRef>
              <c:f>ODLIV!$J$5:$AN$5</c:f>
              <c:numCache>
                <c:formatCode>#,##0.00\ _€;\-#,##0.00\ _€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2"/>
          <c:tx>
            <c:strRef>
              <c:f>ODLIV!$J$6</c:f>
              <c:strCache>
                <c:ptCount val="1"/>
                <c:pt idx="0">
                  <c:v>УКУПАН ОЧЕКИВАНИ ОДЛИВ</c:v>
                </c:pt>
              </c:strCache>
            </c:strRef>
          </c:tx>
          <c:val>
            <c:numRef>
              <c:f>ODLIV!$J$7:$AN$7</c:f>
              <c:numCache>
                <c:formatCode>#,##0.00\ _€;\-#,##0.00\ _€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axId val="129658880"/>
        <c:axId val="129660800"/>
      </c:barChart>
      <c:lineChart>
        <c:grouping val="standard"/>
        <c:ser>
          <c:idx val="0"/>
          <c:order val="0"/>
          <c:tx>
            <c:strRef>
              <c:f>ODLIV!$J$2</c:f>
              <c:strCache>
                <c:ptCount val="1"/>
                <c:pt idx="0">
                  <c:v>ОЧЕКИВАНА ЛИКВИДНОСТ</c:v>
                </c:pt>
              </c:strCache>
            </c:strRef>
          </c:tx>
          <c:marker>
            <c:symbol val="none"/>
          </c:marker>
          <c:val>
            <c:numRef>
              <c:f>ODLIV!$J$3:$AN$3</c:f>
              <c:numCache>
                <c:formatCode>#,##0.00\ _€;\-#,##0.00\ _€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marker val="1"/>
        <c:axId val="129658880"/>
        <c:axId val="129660800"/>
      </c:lineChart>
      <c:catAx>
        <c:axId val="129658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DAN</a:t>
                </a:r>
              </a:p>
            </c:rich>
          </c:tx>
        </c:title>
        <c:tickLblPos val="nextTo"/>
        <c:crossAx val="129660800"/>
        <c:crosses val="autoZero"/>
        <c:auto val="1"/>
        <c:lblAlgn val="ctr"/>
        <c:lblOffset val="100"/>
      </c:catAx>
      <c:valAx>
        <c:axId val="1296608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DINARA</a:t>
                </a:r>
              </a:p>
            </c:rich>
          </c:tx>
        </c:title>
        <c:numFmt formatCode="#,##0.00\ _€;\-#,##0.00\ _€" sourceLinked="1"/>
        <c:tickLblPos val="nextTo"/>
        <c:crossAx val="12965888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0.83964866748095046"/>
          <c:y val="0.22709762722995167"/>
          <c:w val="0.15154606414904026"/>
          <c:h val="0.45451222655462198"/>
        </c:manualLayout>
      </c:layout>
    </c:legend>
    <c:plotVisOnly val="1"/>
    <c:dispBlanksAs val="gap"/>
  </c:chart>
  <c:spPr>
    <a:solidFill>
      <a:schemeClr val="bg1">
        <a:lumMod val="85000"/>
      </a:schemeClr>
    </a:solidFill>
    <a:ln>
      <a:gradFill>
        <a:gsLst>
          <a:gs pos="0">
            <a:schemeClr val="accent1">
              <a:tint val="66000"/>
              <a:satMod val="160000"/>
            </a:schemeClr>
          </a:gs>
          <a:gs pos="50000">
            <a:schemeClr val="accent1">
              <a:tint val="44500"/>
              <a:satMod val="160000"/>
            </a:schemeClr>
          </a:gs>
          <a:gs pos="100000">
            <a:schemeClr val="accent1">
              <a:tint val="23500"/>
              <a:satMod val="160000"/>
            </a:schemeClr>
          </a:gs>
        </a:gsLst>
        <a:lin ang="5400000" scaled="0"/>
      </a:gradFill>
    </a:ln>
    <a:effectLst>
      <a:innerShdw blurRad="63500" dist="50800" dir="13500000">
        <a:prstClr val="black">
          <a:alpha val="50000"/>
        </a:prstClr>
      </a:innerShdw>
    </a:effectLst>
    <a:scene3d>
      <a:camera prst="orthographicFront"/>
      <a:lightRig rig="morning" dir="t"/>
    </a:scene3d>
    <a:sp3d>
      <a:bevelT/>
      <a:bevelB/>
    </a:sp3d>
  </c:spPr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362075" y="647700"/>
    <xdr:ext cx="8653910" cy="532927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638300" y="790575"/>
    <xdr:ext cx="8653910" cy="570712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20"/>
  <sheetViews>
    <sheetView tabSelected="1" workbookViewId="0">
      <selection activeCell="F6" sqref="F6"/>
    </sheetView>
  </sheetViews>
  <sheetFormatPr defaultRowHeight="15"/>
  <cols>
    <col min="1" max="1" width="45.85546875" customWidth="1"/>
    <col min="2" max="3" width="14.85546875" customWidth="1"/>
    <col min="4" max="4" width="9.85546875" customWidth="1"/>
    <col min="5" max="5" width="12.85546875" customWidth="1"/>
    <col min="15" max="23" width="14.85546875" customWidth="1"/>
  </cols>
  <sheetData>
    <row r="1" spans="1:23" ht="15.75" thickBot="1">
      <c r="A1" s="213" t="s">
        <v>0</v>
      </c>
      <c r="B1" s="215"/>
      <c r="C1" s="214" t="s">
        <v>1</v>
      </c>
      <c r="D1" s="2" t="s">
        <v>2</v>
      </c>
      <c r="E1" s="216"/>
      <c r="F1" s="3"/>
      <c r="G1" s="3"/>
      <c r="H1" s="3"/>
      <c r="I1" s="3"/>
      <c r="J1" s="3"/>
      <c r="K1" s="3"/>
      <c r="L1" s="3"/>
      <c r="M1" s="3">
        <v>14</v>
      </c>
      <c r="N1" s="4">
        <f>D16</f>
        <v>0</v>
      </c>
      <c r="O1" s="5" t="s">
        <v>3</v>
      </c>
      <c r="P1" s="6" t="s">
        <v>4</v>
      </c>
      <c r="Q1" s="5" t="s">
        <v>5</v>
      </c>
      <c r="R1" s="5"/>
      <c r="S1" s="5" t="s">
        <v>6</v>
      </c>
      <c r="T1" s="7" t="s">
        <v>7</v>
      </c>
      <c r="U1" s="5"/>
      <c r="V1" s="5" t="s">
        <v>8</v>
      </c>
      <c r="W1" s="5" t="s">
        <v>9</v>
      </c>
    </row>
    <row r="2" spans="1:23" ht="15.75" thickBot="1">
      <c r="A2" s="8" t="s">
        <v>10</v>
      </c>
      <c r="B2" s="8" t="s">
        <v>11</v>
      </c>
      <c r="C2" s="8" t="s">
        <v>12</v>
      </c>
      <c r="D2" s="8" t="s">
        <v>13</v>
      </c>
      <c r="E2" s="8" t="s">
        <v>14</v>
      </c>
      <c r="F2" s="3"/>
      <c r="G2" s="3"/>
      <c r="H2" s="3"/>
      <c r="I2" s="3"/>
      <c r="J2" s="3"/>
      <c r="K2" s="3"/>
      <c r="L2" s="3"/>
      <c r="M2" s="3"/>
      <c r="N2" s="9"/>
      <c r="O2" s="3"/>
      <c r="P2" s="3"/>
      <c r="Q2" s="3"/>
      <c r="R2" s="3"/>
      <c r="S2" s="133"/>
      <c r="T2" s="133"/>
      <c r="U2" s="133"/>
      <c r="V2" s="3"/>
      <c r="W2" s="3"/>
    </row>
    <row r="3" spans="1:23">
      <c r="A3" s="217"/>
      <c r="B3" s="219"/>
      <c r="C3" s="219"/>
      <c r="D3" s="220"/>
      <c r="E3" s="221"/>
      <c r="F3" s="3"/>
      <c r="G3" s="3"/>
      <c r="H3" s="3"/>
      <c r="I3" s="3"/>
      <c r="J3" s="3"/>
      <c r="K3" s="3"/>
      <c r="L3" s="3"/>
      <c r="M3" s="3"/>
      <c r="N3" s="3"/>
      <c r="O3" s="3">
        <f>$B$1</f>
        <v>0</v>
      </c>
      <c r="P3" s="11">
        <f>$E$1</f>
        <v>0</v>
      </c>
      <c r="Q3" s="3">
        <f>A3</f>
        <v>0</v>
      </c>
      <c r="R3" s="1" t="s">
        <v>1</v>
      </c>
      <c r="S3" s="133">
        <f>B3</f>
        <v>0</v>
      </c>
      <c r="T3" s="133">
        <f>C3</f>
        <v>0</v>
      </c>
      <c r="U3" s="133"/>
      <c r="V3" s="3">
        <f>E3</f>
        <v>0</v>
      </c>
      <c r="W3" s="3">
        <f>D3</f>
        <v>0</v>
      </c>
    </row>
    <row r="4" spans="1:23">
      <c r="A4" s="218" t="str">
        <f ca="1">IF(CELL("TYPE",D4)="b",$C$1,A3)</f>
        <v/>
      </c>
      <c r="B4" s="219"/>
      <c r="C4" s="219"/>
      <c r="D4" s="220"/>
      <c r="E4" s="221"/>
      <c r="F4" s="3"/>
      <c r="G4" s="3"/>
      <c r="H4" s="3"/>
      <c r="I4" s="3"/>
      <c r="J4" s="3"/>
      <c r="K4" s="3"/>
      <c r="L4" s="3"/>
      <c r="M4" s="3"/>
      <c r="N4" s="3"/>
      <c r="O4" s="3">
        <f t="shared" ref="O4:O15" si="0">$B$1</f>
        <v>0</v>
      </c>
      <c r="P4" s="11">
        <f t="shared" ref="P4:P15" si="1">$E$1</f>
        <v>0</v>
      </c>
      <c r="Q4" s="3" t="str">
        <f t="shared" ref="Q4:Q15" ca="1" si="2">A4</f>
        <v/>
      </c>
      <c r="R4" s="1" t="s">
        <v>1</v>
      </c>
      <c r="S4" s="133">
        <f t="shared" ref="S4:T15" si="3">B4</f>
        <v>0</v>
      </c>
      <c r="T4" s="133">
        <f t="shared" si="3"/>
        <v>0</v>
      </c>
      <c r="U4" s="133"/>
      <c r="V4" s="3">
        <f t="shared" ref="V4:V15" si="4">E4</f>
        <v>0</v>
      </c>
      <c r="W4" s="3">
        <f t="shared" ref="W4:W15" si="5">D4</f>
        <v>0</v>
      </c>
    </row>
    <row r="5" spans="1:23">
      <c r="A5" s="218" t="str">
        <f ca="1">IF(CELL("TYPE",D5)="b",$C$1,A4)</f>
        <v/>
      </c>
      <c r="B5" s="219"/>
      <c r="C5" s="219"/>
      <c r="D5" s="220"/>
      <c r="E5" s="221"/>
      <c r="F5" s="3"/>
      <c r="G5" s="3"/>
      <c r="H5" s="3"/>
      <c r="I5" s="3"/>
      <c r="J5" s="3"/>
      <c r="K5" s="3"/>
      <c r="L5" s="3"/>
      <c r="M5" s="3"/>
      <c r="N5" s="3"/>
      <c r="O5" s="3">
        <f t="shared" si="0"/>
        <v>0</v>
      </c>
      <c r="P5" s="11">
        <f t="shared" si="1"/>
        <v>0</v>
      </c>
      <c r="Q5" s="3" t="str">
        <f t="shared" ca="1" si="2"/>
        <v/>
      </c>
      <c r="R5" s="1" t="s">
        <v>1</v>
      </c>
      <c r="S5" s="133">
        <f t="shared" si="3"/>
        <v>0</v>
      </c>
      <c r="T5" s="133">
        <f t="shared" si="3"/>
        <v>0</v>
      </c>
      <c r="U5" s="133"/>
      <c r="V5" s="3">
        <f t="shared" si="4"/>
        <v>0</v>
      </c>
      <c r="W5" s="3">
        <f t="shared" si="5"/>
        <v>0</v>
      </c>
    </row>
    <row r="6" spans="1:23">
      <c r="A6" s="218" t="str">
        <f ca="1">IF(CELL("TYPE",D6)="b",$C$1,A5)</f>
        <v/>
      </c>
      <c r="B6" s="219"/>
      <c r="C6" s="219"/>
      <c r="D6" s="220"/>
      <c r="E6" s="221"/>
      <c r="F6" s="3"/>
      <c r="G6" s="3"/>
      <c r="H6" s="3"/>
      <c r="I6" s="3"/>
      <c r="J6" s="3"/>
      <c r="K6" s="3"/>
      <c r="L6" s="3"/>
      <c r="M6" s="3"/>
      <c r="N6" s="3"/>
      <c r="O6" s="3">
        <f t="shared" si="0"/>
        <v>0</v>
      </c>
      <c r="P6" s="11">
        <f t="shared" si="1"/>
        <v>0</v>
      </c>
      <c r="Q6" s="3" t="str">
        <f t="shared" ca="1" si="2"/>
        <v/>
      </c>
      <c r="R6" s="1" t="s">
        <v>1</v>
      </c>
      <c r="S6" s="133">
        <f t="shared" si="3"/>
        <v>0</v>
      </c>
      <c r="T6" s="133">
        <f t="shared" si="3"/>
        <v>0</v>
      </c>
      <c r="U6" s="133"/>
      <c r="V6" s="3">
        <f t="shared" si="4"/>
        <v>0</v>
      </c>
      <c r="W6" s="3">
        <f t="shared" si="5"/>
        <v>0</v>
      </c>
    </row>
    <row r="7" spans="1:23">
      <c r="A7" s="218" t="str">
        <f ca="1">IF(CELL("TYPE",D7)="b",$C$1,A6)</f>
        <v/>
      </c>
      <c r="B7" s="219"/>
      <c r="C7" s="219"/>
      <c r="D7" s="220"/>
      <c r="E7" s="221"/>
      <c r="F7" s="3"/>
      <c r="G7" s="3"/>
      <c r="H7" s="3"/>
      <c r="I7" s="3"/>
      <c r="J7" s="3"/>
      <c r="K7" s="3"/>
      <c r="L7" s="3"/>
      <c r="M7" s="3"/>
      <c r="N7" s="3"/>
      <c r="O7" s="3">
        <f t="shared" si="0"/>
        <v>0</v>
      </c>
      <c r="P7" s="11">
        <f t="shared" si="1"/>
        <v>0</v>
      </c>
      <c r="Q7" s="3" t="str">
        <f t="shared" ca="1" si="2"/>
        <v/>
      </c>
      <c r="R7" s="1" t="s">
        <v>1</v>
      </c>
      <c r="S7" s="133">
        <f t="shared" si="3"/>
        <v>0</v>
      </c>
      <c r="T7" s="133">
        <f t="shared" si="3"/>
        <v>0</v>
      </c>
      <c r="U7" s="133"/>
      <c r="V7" s="3">
        <f t="shared" si="4"/>
        <v>0</v>
      </c>
      <c r="W7" s="3">
        <f t="shared" si="5"/>
        <v>0</v>
      </c>
    </row>
    <row r="8" spans="1:23">
      <c r="A8" s="218" t="str">
        <f t="shared" ref="A8:A14" ca="1" si="6">IF(CELL("TYPE",D8)="b",$C$1,A7)</f>
        <v/>
      </c>
      <c r="B8" s="219"/>
      <c r="C8" s="219"/>
      <c r="D8" s="220"/>
      <c r="E8" s="221"/>
      <c r="F8" s="3"/>
      <c r="G8" s="3"/>
      <c r="H8" s="3"/>
      <c r="I8" s="3"/>
      <c r="J8" s="3"/>
      <c r="K8" s="3"/>
      <c r="L8" s="3"/>
      <c r="M8" s="3"/>
      <c r="N8" s="3"/>
      <c r="O8" s="3">
        <f t="shared" si="0"/>
        <v>0</v>
      </c>
      <c r="P8" s="11">
        <f t="shared" si="1"/>
        <v>0</v>
      </c>
      <c r="Q8" s="3" t="str">
        <f t="shared" ca="1" si="2"/>
        <v/>
      </c>
      <c r="R8" s="1" t="s">
        <v>1</v>
      </c>
      <c r="S8" s="133">
        <f t="shared" si="3"/>
        <v>0</v>
      </c>
      <c r="T8" s="133">
        <f t="shared" si="3"/>
        <v>0</v>
      </c>
      <c r="U8" s="133"/>
      <c r="V8" s="3">
        <f t="shared" si="4"/>
        <v>0</v>
      </c>
      <c r="W8" s="3">
        <f t="shared" si="5"/>
        <v>0</v>
      </c>
    </row>
    <row r="9" spans="1:23">
      <c r="A9" s="218" t="str">
        <f t="shared" ca="1" si="6"/>
        <v/>
      </c>
      <c r="B9" s="219"/>
      <c r="C9" s="219"/>
      <c r="D9" s="220"/>
      <c r="E9" s="221"/>
      <c r="F9" s="3"/>
      <c r="G9" s="3"/>
      <c r="H9" s="3"/>
      <c r="I9" s="3"/>
      <c r="J9" s="3"/>
      <c r="K9" s="3"/>
      <c r="L9" s="3"/>
      <c r="M9" s="3"/>
      <c r="N9" s="3"/>
      <c r="O9" s="3">
        <f t="shared" si="0"/>
        <v>0</v>
      </c>
      <c r="P9" s="11">
        <f t="shared" si="1"/>
        <v>0</v>
      </c>
      <c r="Q9" s="3" t="str">
        <f t="shared" ca="1" si="2"/>
        <v/>
      </c>
      <c r="R9" s="1" t="s">
        <v>1</v>
      </c>
      <c r="S9" s="133">
        <f t="shared" si="3"/>
        <v>0</v>
      </c>
      <c r="T9" s="133">
        <f t="shared" si="3"/>
        <v>0</v>
      </c>
      <c r="U9" s="133"/>
      <c r="V9" s="3">
        <f t="shared" si="4"/>
        <v>0</v>
      </c>
      <c r="W9" s="3">
        <f t="shared" si="5"/>
        <v>0</v>
      </c>
    </row>
    <row r="10" spans="1:23">
      <c r="A10" s="218" t="str">
        <f t="shared" ca="1" si="6"/>
        <v/>
      </c>
      <c r="B10" s="219"/>
      <c r="C10" s="219"/>
      <c r="D10" s="220"/>
      <c r="E10" s="221"/>
      <c r="F10" s="3"/>
      <c r="G10" s="3"/>
      <c r="H10" s="3"/>
      <c r="I10" s="3"/>
      <c r="J10" s="3"/>
      <c r="K10" s="3"/>
      <c r="L10" s="3"/>
      <c r="M10" s="3"/>
      <c r="N10" s="3"/>
      <c r="O10" s="3">
        <f t="shared" si="0"/>
        <v>0</v>
      </c>
      <c r="P10" s="11">
        <f t="shared" si="1"/>
        <v>0</v>
      </c>
      <c r="Q10" s="3" t="str">
        <f t="shared" ca="1" si="2"/>
        <v/>
      </c>
      <c r="R10" s="1" t="s">
        <v>1</v>
      </c>
      <c r="S10" s="133">
        <f t="shared" si="3"/>
        <v>0</v>
      </c>
      <c r="T10" s="133">
        <f t="shared" si="3"/>
        <v>0</v>
      </c>
      <c r="U10" s="133"/>
      <c r="V10" s="3">
        <f t="shared" si="4"/>
        <v>0</v>
      </c>
      <c r="W10" s="3">
        <f t="shared" si="5"/>
        <v>0</v>
      </c>
    </row>
    <row r="11" spans="1:23">
      <c r="A11" s="218" t="str">
        <f t="shared" ca="1" si="6"/>
        <v/>
      </c>
      <c r="B11" s="219"/>
      <c r="C11" s="219"/>
      <c r="D11" s="220"/>
      <c r="E11" s="221"/>
      <c r="F11" s="3"/>
      <c r="G11" s="3"/>
      <c r="H11" s="3"/>
      <c r="I11" s="3"/>
      <c r="J11" s="3"/>
      <c r="K11" s="3"/>
      <c r="L11" s="3"/>
      <c r="M11" s="3"/>
      <c r="N11" s="3"/>
      <c r="O11" s="3">
        <f t="shared" si="0"/>
        <v>0</v>
      </c>
      <c r="P11" s="11">
        <f t="shared" si="1"/>
        <v>0</v>
      </c>
      <c r="Q11" s="3" t="str">
        <f t="shared" ca="1" si="2"/>
        <v/>
      </c>
      <c r="R11" s="1" t="s">
        <v>1</v>
      </c>
      <c r="S11" s="133">
        <f t="shared" si="3"/>
        <v>0</v>
      </c>
      <c r="T11" s="133">
        <f t="shared" si="3"/>
        <v>0</v>
      </c>
      <c r="U11" s="133"/>
      <c r="V11" s="3">
        <f t="shared" si="4"/>
        <v>0</v>
      </c>
      <c r="W11" s="3">
        <f t="shared" si="5"/>
        <v>0</v>
      </c>
    </row>
    <row r="12" spans="1:23">
      <c r="A12" s="218" t="str">
        <f t="shared" ca="1" si="6"/>
        <v/>
      </c>
      <c r="B12" s="219"/>
      <c r="C12" s="219"/>
      <c r="D12" s="220"/>
      <c r="E12" s="221"/>
      <c r="F12" s="3"/>
      <c r="G12" s="3"/>
      <c r="H12" s="3"/>
      <c r="I12" s="3"/>
      <c r="J12" s="3"/>
      <c r="K12" s="3"/>
      <c r="L12" s="3"/>
      <c r="M12" s="3"/>
      <c r="N12" s="3"/>
      <c r="O12" s="3">
        <f t="shared" si="0"/>
        <v>0</v>
      </c>
      <c r="P12" s="11">
        <f t="shared" si="1"/>
        <v>0</v>
      </c>
      <c r="Q12" s="3" t="str">
        <f t="shared" ca="1" si="2"/>
        <v/>
      </c>
      <c r="R12" s="1" t="s">
        <v>1</v>
      </c>
      <c r="S12" s="133">
        <f t="shared" si="3"/>
        <v>0</v>
      </c>
      <c r="T12" s="133">
        <f t="shared" si="3"/>
        <v>0</v>
      </c>
      <c r="U12" s="133"/>
      <c r="V12" s="3">
        <f t="shared" si="4"/>
        <v>0</v>
      </c>
      <c r="W12" s="3">
        <f t="shared" si="5"/>
        <v>0</v>
      </c>
    </row>
    <row r="13" spans="1:23">
      <c r="A13" s="218" t="str">
        <f t="shared" ca="1" si="6"/>
        <v/>
      </c>
      <c r="B13" s="219"/>
      <c r="C13" s="219"/>
      <c r="D13" s="220"/>
      <c r="E13" s="221"/>
      <c r="F13" s="3"/>
      <c r="G13" s="3"/>
      <c r="H13" s="3"/>
      <c r="I13" s="3"/>
      <c r="J13" s="3"/>
      <c r="K13" s="3"/>
      <c r="L13" s="3"/>
      <c r="M13" s="3"/>
      <c r="N13" s="3"/>
      <c r="O13" s="3">
        <f t="shared" si="0"/>
        <v>0</v>
      </c>
      <c r="P13" s="11">
        <f t="shared" si="1"/>
        <v>0</v>
      </c>
      <c r="Q13" s="3" t="str">
        <f t="shared" ca="1" si="2"/>
        <v/>
      </c>
      <c r="R13" s="1" t="s">
        <v>1</v>
      </c>
      <c r="S13" s="133">
        <f t="shared" si="3"/>
        <v>0</v>
      </c>
      <c r="T13" s="133">
        <f t="shared" si="3"/>
        <v>0</v>
      </c>
      <c r="U13" s="133"/>
      <c r="V13" s="3">
        <f t="shared" si="4"/>
        <v>0</v>
      </c>
      <c r="W13" s="3">
        <f t="shared" si="5"/>
        <v>0</v>
      </c>
    </row>
    <row r="14" spans="1:23" ht="15.75" thickBot="1">
      <c r="A14" s="218" t="str">
        <f t="shared" ca="1" si="6"/>
        <v/>
      </c>
      <c r="B14" s="219"/>
      <c r="C14" s="219"/>
      <c r="D14" s="220"/>
      <c r="E14" s="221"/>
      <c r="F14" s="3"/>
      <c r="G14" s="3"/>
      <c r="H14" s="3"/>
      <c r="I14" s="3"/>
      <c r="J14" s="3"/>
      <c r="K14" s="3"/>
      <c r="L14" s="3"/>
      <c r="M14" s="3"/>
      <c r="N14" s="3"/>
      <c r="O14" s="3">
        <f t="shared" si="0"/>
        <v>0</v>
      </c>
      <c r="P14" s="11">
        <f t="shared" si="1"/>
        <v>0</v>
      </c>
      <c r="Q14" s="3" t="str">
        <f t="shared" ca="1" si="2"/>
        <v/>
      </c>
      <c r="R14" s="3"/>
      <c r="S14" s="133">
        <f t="shared" si="3"/>
        <v>0</v>
      </c>
      <c r="T14" s="133">
        <f t="shared" si="3"/>
        <v>0</v>
      </c>
      <c r="U14" s="133"/>
      <c r="V14" s="3">
        <f t="shared" si="4"/>
        <v>0</v>
      </c>
      <c r="W14" s="3">
        <f t="shared" si="5"/>
        <v>0</v>
      </c>
    </row>
    <row r="15" spans="1:23" ht="15.75" thickBot="1">
      <c r="A15" s="226"/>
      <c r="B15" s="227"/>
      <c r="C15" s="227"/>
      <c r="D15" s="228"/>
      <c r="E15" s="229"/>
      <c r="F15" s="226"/>
      <c r="G15" s="230"/>
      <c r="H15" s="230"/>
      <c r="I15" s="230"/>
      <c r="J15" s="230"/>
      <c r="K15" s="230"/>
      <c r="L15" s="230"/>
      <c r="M15" s="230"/>
      <c r="N15" s="230"/>
      <c r="O15" s="230">
        <f t="shared" si="0"/>
        <v>0</v>
      </c>
      <c r="P15" s="231">
        <f t="shared" si="1"/>
        <v>0</v>
      </c>
      <c r="Q15" s="230">
        <f t="shared" si="2"/>
        <v>0</v>
      </c>
      <c r="R15" s="230"/>
      <c r="S15" s="232">
        <f t="shared" si="3"/>
        <v>0</v>
      </c>
      <c r="T15" s="232">
        <f t="shared" si="3"/>
        <v>0</v>
      </c>
      <c r="U15" s="230"/>
      <c r="V15" s="230">
        <f t="shared" si="4"/>
        <v>0</v>
      </c>
      <c r="W15" s="233">
        <f t="shared" si="5"/>
        <v>0</v>
      </c>
    </row>
    <row r="16" spans="1:23" ht="15.75" thickBot="1">
      <c r="A16" s="3"/>
      <c r="B16" s="12">
        <f>SUM(B3:B15)</f>
        <v>0</v>
      </c>
      <c r="C16" s="12">
        <f>SUM(C3:C15)</f>
        <v>0</v>
      </c>
      <c r="D16" s="12">
        <f>B16-C16</f>
        <v>0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1:2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1:2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1:2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W16"/>
  <sheetViews>
    <sheetView workbookViewId="0">
      <selection activeCell="F11" sqref="F11"/>
    </sheetView>
  </sheetViews>
  <sheetFormatPr defaultColWidth="8.85546875" defaultRowHeight="12.75"/>
  <cols>
    <col min="1" max="1" width="8.85546875" style="3" customWidth="1"/>
    <col min="2" max="2" width="9.7109375" style="3" bestFit="1" customWidth="1"/>
    <col min="3" max="3" width="45.85546875" style="3" customWidth="1"/>
    <col min="4" max="4" width="0.42578125" style="3" customWidth="1"/>
    <col min="5" max="8" width="12.85546875" style="3" customWidth="1"/>
    <col min="9" max="16384" width="8.85546875" style="3"/>
  </cols>
  <sheetData>
    <row r="1" spans="1:49" ht="13.5" thickBot="1">
      <c r="A1" s="13"/>
      <c r="B1" s="14" t="s">
        <v>15</v>
      </c>
      <c r="C1" s="139"/>
      <c r="D1" s="15"/>
      <c r="E1" s="13"/>
      <c r="F1" s="13"/>
      <c r="G1" s="16"/>
      <c r="H1" s="13"/>
      <c r="AA1" s="213" t="s">
        <v>0</v>
      </c>
      <c r="AB1" s="215"/>
      <c r="AC1" s="214" t="s">
        <v>1</v>
      </c>
      <c r="AD1" s="2" t="s">
        <v>2</v>
      </c>
      <c r="AE1" s="216"/>
      <c r="AM1" s="3">
        <v>14</v>
      </c>
      <c r="AN1" s="4">
        <f>AD16</f>
        <v>0</v>
      </c>
      <c r="AO1" s="5" t="s">
        <v>3</v>
      </c>
      <c r="AP1" s="6" t="s">
        <v>4</v>
      </c>
      <c r="AQ1" s="5" t="s">
        <v>5</v>
      </c>
      <c r="AR1" s="5"/>
      <c r="AS1" s="5" t="s">
        <v>6</v>
      </c>
      <c r="AT1" s="7" t="s">
        <v>7</v>
      </c>
      <c r="AU1" s="5"/>
      <c r="AV1" s="5" t="s">
        <v>8</v>
      </c>
      <c r="AW1" s="5" t="s">
        <v>9</v>
      </c>
    </row>
    <row r="2" spans="1:49" ht="13.5" thickBot="1">
      <c r="A2" s="13"/>
      <c r="B2" s="14" t="s">
        <v>16</v>
      </c>
      <c r="C2" s="140"/>
      <c r="D2" s="13"/>
      <c r="E2" s="144">
        <f>SUM(E5:E6)</f>
        <v>0</v>
      </c>
      <c r="F2" s="144">
        <f>SUM(F5:F6)</f>
        <v>0</v>
      </c>
      <c r="G2" s="144">
        <f>+E2-F2</f>
        <v>0</v>
      </c>
      <c r="H2" s="145">
        <v>0</v>
      </c>
      <c r="AA2" s="8" t="s">
        <v>10</v>
      </c>
      <c r="AB2" s="8" t="s">
        <v>11</v>
      </c>
      <c r="AC2" s="8" t="s">
        <v>12</v>
      </c>
      <c r="AD2" s="8" t="s">
        <v>13</v>
      </c>
      <c r="AE2" s="8" t="s">
        <v>14</v>
      </c>
      <c r="AN2" s="9"/>
      <c r="AS2" s="10"/>
      <c r="AT2" s="10"/>
      <c r="AU2" s="10"/>
    </row>
    <row r="3" spans="1:49" ht="13.15" customHeight="1" thickBot="1">
      <c r="A3" s="13"/>
      <c r="B3" s="13"/>
      <c r="C3" s="13"/>
      <c r="D3" s="13"/>
      <c r="E3" s="17"/>
      <c r="F3" s="17"/>
      <c r="G3" s="17"/>
      <c r="H3" s="13"/>
      <c r="AA3" s="217"/>
      <c r="AB3" s="219"/>
      <c r="AC3" s="219"/>
      <c r="AD3" s="220"/>
      <c r="AE3" s="221"/>
      <c r="AO3" s="3" t="str">
        <f>$B$1</f>
        <v>Конто:</v>
      </c>
      <c r="AP3" s="11">
        <f>$E$1</f>
        <v>0</v>
      </c>
      <c r="AQ3" s="3">
        <f>AA3</f>
        <v>0</v>
      </c>
      <c r="AR3" s="1" t="s">
        <v>1</v>
      </c>
      <c r="AS3" s="10">
        <f>AB3</f>
        <v>0</v>
      </c>
      <c r="AT3" s="10">
        <f>AC3</f>
        <v>0</v>
      </c>
      <c r="AU3" s="10"/>
      <c r="AV3" s="3">
        <f>AE3</f>
        <v>0</v>
      </c>
      <c r="AW3" s="3">
        <f>AD3</f>
        <v>0</v>
      </c>
    </row>
    <row r="4" spans="1:49" ht="13.5" thickBot="1">
      <c r="A4" s="141" t="s">
        <v>17</v>
      </c>
      <c r="B4" s="142" t="s">
        <v>18</v>
      </c>
      <c r="C4" s="141" t="s">
        <v>19</v>
      </c>
      <c r="D4" s="143" t="s">
        <v>1</v>
      </c>
      <c r="E4" s="141" t="s">
        <v>11</v>
      </c>
      <c r="F4" s="141" t="s">
        <v>12</v>
      </c>
      <c r="G4" s="141" t="s">
        <v>20</v>
      </c>
      <c r="H4" s="141" t="s">
        <v>21</v>
      </c>
      <c r="AA4" s="218">
        <f ca="1">IF(CELL("TYPE",AD4)="b",$C$1,AA3)</f>
        <v>0</v>
      </c>
      <c r="AB4" s="219"/>
      <c r="AC4" s="219"/>
      <c r="AD4" s="220"/>
      <c r="AE4" s="221"/>
      <c r="AO4" s="3" t="str">
        <f t="shared" ref="AO4:AO15" si="0">$B$1</f>
        <v>Конто:</v>
      </c>
      <c r="AP4" s="11">
        <f t="shared" ref="AP4:AP15" si="1">$E$1</f>
        <v>0</v>
      </c>
      <c r="AQ4" s="3">
        <f t="shared" ref="AQ4:AQ15" ca="1" si="2">AA4</f>
        <v>0</v>
      </c>
      <c r="AR4" s="1" t="s">
        <v>1</v>
      </c>
      <c r="AS4" s="10">
        <f t="shared" ref="AS4:AT15" si="3">AB4</f>
        <v>0</v>
      </c>
      <c r="AT4" s="10">
        <f t="shared" si="3"/>
        <v>0</v>
      </c>
      <c r="AU4" s="10"/>
      <c r="AV4" s="3">
        <f t="shared" ref="AV4:AV15" si="4">AE4</f>
        <v>0</v>
      </c>
      <c r="AW4" s="3">
        <f t="shared" ref="AW4:AW15" si="5">AD4</f>
        <v>0</v>
      </c>
    </row>
    <row r="5" spans="1:49">
      <c r="AA5" s="218">
        <f ca="1">IF(CELL("TYPE",AD5)="b",$C$1,AA4)</f>
        <v>0</v>
      </c>
      <c r="AB5" s="219"/>
      <c r="AC5" s="219"/>
      <c r="AD5" s="220"/>
      <c r="AE5" s="221"/>
      <c r="AO5" s="3" t="str">
        <f t="shared" si="0"/>
        <v>Конто:</v>
      </c>
      <c r="AP5" s="11">
        <f t="shared" si="1"/>
        <v>0</v>
      </c>
      <c r="AQ5" s="3">
        <f t="shared" ca="1" si="2"/>
        <v>0</v>
      </c>
      <c r="AR5" s="1" t="s">
        <v>1</v>
      </c>
      <c r="AS5" s="10">
        <f t="shared" si="3"/>
        <v>0</v>
      </c>
      <c r="AT5" s="10">
        <f t="shared" si="3"/>
        <v>0</v>
      </c>
      <c r="AU5" s="10"/>
      <c r="AV5" s="3">
        <f t="shared" si="4"/>
        <v>0</v>
      </c>
      <c r="AW5" s="3">
        <f t="shared" si="5"/>
        <v>0</v>
      </c>
    </row>
    <row r="6" spans="1:49">
      <c r="AA6" s="218">
        <f ca="1">IF(CELL("TYPE",AD6)="b",$C$1,AA5)</f>
        <v>0</v>
      </c>
      <c r="AB6" s="219"/>
      <c r="AC6" s="219"/>
      <c r="AD6" s="220"/>
      <c r="AE6" s="221"/>
      <c r="AO6" s="3" t="str">
        <f t="shared" si="0"/>
        <v>Конто:</v>
      </c>
      <c r="AP6" s="11">
        <f t="shared" si="1"/>
        <v>0</v>
      </c>
      <c r="AQ6" s="3">
        <f t="shared" ca="1" si="2"/>
        <v>0</v>
      </c>
      <c r="AR6" s="1" t="s">
        <v>1</v>
      </c>
      <c r="AS6" s="10">
        <f t="shared" si="3"/>
        <v>0</v>
      </c>
      <c r="AT6" s="10">
        <f t="shared" si="3"/>
        <v>0</v>
      </c>
      <c r="AU6" s="10"/>
      <c r="AV6" s="3">
        <f t="shared" si="4"/>
        <v>0</v>
      </c>
      <c r="AW6" s="3">
        <f t="shared" si="5"/>
        <v>0</v>
      </c>
    </row>
    <row r="7" spans="1:49">
      <c r="AA7" s="218">
        <f ca="1">IF(CELL("TYPE",AD7)="b",$C$1,AA6)</f>
        <v>0</v>
      </c>
      <c r="AB7" s="219"/>
      <c r="AC7" s="219"/>
      <c r="AD7" s="220"/>
      <c r="AE7" s="221"/>
      <c r="AO7" s="3" t="str">
        <f t="shared" si="0"/>
        <v>Конто:</v>
      </c>
      <c r="AP7" s="11">
        <f t="shared" si="1"/>
        <v>0</v>
      </c>
      <c r="AQ7" s="3">
        <f t="shared" ca="1" si="2"/>
        <v>0</v>
      </c>
      <c r="AR7" s="1" t="s">
        <v>1</v>
      </c>
      <c r="AS7" s="10">
        <f t="shared" si="3"/>
        <v>0</v>
      </c>
      <c r="AT7" s="10">
        <f t="shared" si="3"/>
        <v>0</v>
      </c>
      <c r="AU7" s="10"/>
      <c r="AV7" s="3">
        <f t="shared" si="4"/>
        <v>0</v>
      </c>
      <c r="AW7" s="3">
        <f t="shared" si="5"/>
        <v>0</v>
      </c>
    </row>
    <row r="8" spans="1:49">
      <c r="AA8" s="218">
        <f t="shared" ref="AA8:AA14" ca="1" si="6">IF(CELL("TYPE",AD8)="b",$C$1,AA7)</f>
        <v>0</v>
      </c>
      <c r="AB8" s="219"/>
      <c r="AC8" s="219"/>
      <c r="AD8" s="220"/>
      <c r="AE8" s="221"/>
      <c r="AO8" s="3" t="str">
        <f t="shared" si="0"/>
        <v>Конто:</v>
      </c>
      <c r="AP8" s="11">
        <f t="shared" si="1"/>
        <v>0</v>
      </c>
      <c r="AQ8" s="3">
        <f t="shared" ca="1" si="2"/>
        <v>0</v>
      </c>
      <c r="AR8" s="1" t="s">
        <v>1</v>
      </c>
      <c r="AS8" s="10">
        <f t="shared" si="3"/>
        <v>0</v>
      </c>
      <c r="AT8" s="10">
        <f t="shared" si="3"/>
        <v>0</v>
      </c>
      <c r="AU8" s="10"/>
      <c r="AV8" s="3">
        <f t="shared" si="4"/>
        <v>0</v>
      </c>
      <c r="AW8" s="3">
        <f t="shared" si="5"/>
        <v>0</v>
      </c>
    </row>
    <row r="9" spans="1:49">
      <c r="AA9" s="218">
        <f t="shared" ca="1" si="6"/>
        <v>0</v>
      </c>
      <c r="AB9" s="219"/>
      <c r="AC9" s="219"/>
      <c r="AD9" s="220"/>
      <c r="AE9" s="221"/>
      <c r="AO9" s="3" t="str">
        <f t="shared" si="0"/>
        <v>Конто:</v>
      </c>
      <c r="AP9" s="11">
        <f t="shared" si="1"/>
        <v>0</v>
      </c>
      <c r="AQ9" s="3">
        <f t="shared" ca="1" si="2"/>
        <v>0</v>
      </c>
      <c r="AR9" s="1" t="s">
        <v>1</v>
      </c>
      <c r="AS9" s="10">
        <f t="shared" si="3"/>
        <v>0</v>
      </c>
      <c r="AT9" s="10">
        <f t="shared" si="3"/>
        <v>0</v>
      </c>
      <c r="AU9" s="10"/>
      <c r="AV9" s="3">
        <f t="shared" si="4"/>
        <v>0</v>
      </c>
      <c r="AW9" s="3">
        <f t="shared" si="5"/>
        <v>0</v>
      </c>
    </row>
    <row r="10" spans="1:49">
      <c r="AA10" s="218">
        <f t="shared" ca="1" si="6"/>
        <v>0</v>
      </c>
      <c r="AB10" s="219"/>
      <c r="AC10" s="219"/>
      <c r="AD10" s="220"/>
      <c r="AE10" s="221"/>
      <c r="AO10" s="3" t="str">
        <f t="shared" si="0"/>
        <v>Конто:</v>
      </c>
      <c r="AP10" s="11">
        <f t="shared" si="1"/>
        <v>0</v>
      </c>
      <c r="AQ10" s="3">
        <f t="shared" ca="1" si="2"/>
        <v>0</v>
      </c>
      <c r="AR10" s="1" t="s">
        <v>1</v>
      </c>
      <c r="AS10" s="10">
        <f t="shared" si="3"/>
        <v>0</v>
      </c>
      <c r="AT10" s="10">
        <f t="shared" si="3"/>
        <v>0</v>
      </c>
      <c r="AU10" s="10"/>
      <c r="AV10" s="3">
        <f t="shared" si="4"/>
        <v>0</v>
      </c>
      <c r="AW10" s="3">
        <f t="shared" si="5"/>
        <v>0</v>
      </c>
    </row>
    <row r="11" spans="1:49">
      <c r="AA11" s="218">
        <f t="shared" ca="1" si="6"/>
        <v>0</v>
      </c>
      <c r="AB11" s="219"/>
      <c r="AC11" s="219"/>
      <c r="AD11" s="220"/>
      <c r="AE11" s="221"/>
      <c r="AO11" s="3" t="str">
        <f t="shared" si="0"/>
        <v>Конто:</v>
      </c>
      <c r="AP11" s="11">
        <f t="shared" si="1"/>
        <v>0</v>
      </c>
      <c r="AQ11" s="3">
        <f t="shared" ca="1" si="2"/>
        <v>0</v>
      </c>
      <c r="AR11" s="1" t="s">
        <v>1</v>
      </c>
      <c r="AS11" s="10">
        <f t="shared" si="3"/>
        <v>0</v>
      </c>
      <c r="AT11" s="10">
        <f t="shared" si="3"/>
        <v>0</v>
      </c>
      <c r="AU11" s="10"/>
      <c r="AV11" s="3">
        <f t="shared" si="4"/>
        <v>0</v>
      </c>
      <c r="AW11" s="3">
        <f t="shared" si="5"/>
        <v>0</v>
      </c>
    </row>
    <row r="12" spans="1:49">
      <c r="AA12" s="218">
        <f t="shared" ca="1" si="6"/>
        <v>0</v>
      </c>
      <c r="AB12" s="219"/>
      <c r="AC12" s="219"/>
      <c r="AD12" s="220"/>
      <c r="AE12" s="221"/>
      <c r="AO12" s="3" t="str">
        <f t="shared" si="0"/>
        <v>Конто:</v>
      </c>
      <c r="AP12" s="11">
        <f t="shared" si="1"/>
        <v>0</v>
      </c>
      <c r="AQ12" s="3">
        <f t="shared" ca="1" si="2"/>
        <v>0</v>
      </c>
      <c r="AR12" s="1" t="s">
        <v>1</v>
      </c>
      <c r="AS12" s="10">
        <f t="shared" si="3"/>
        <v>0</v>
      </c>
      <c r="AT12" s="10">
        <f t="shared" si="3"/>
        <v>0</v>
      </c>
      <c r="AU12" s="10"/>
      <c r="AV12" s="3">
        <f t="shared" si="4"/>
        <v>0</v>
      </c>
      <c r="AW12" s="3">
        <f t="shared" si="5"/>
        <v>0</v>
      </c>
    </row>
    <row r="13" spans="1:49">
      <c r="AA13" s="218">
        <f t="shared" ca="1" si="6"/>
        <v>0</v>
      </c>
      <c r="AB13" s="219"/>
      <c r="AC13" s="219"/>
      <c r="AD13" s="220"/>
      <c r="AE13" s="221"/>
      <c r="AO13" s="3" t="str">
        <f t="shared" si="0"/>
        <v>Конто:</v>
      </c>
      <c r="AP13" s="11">
        <f t="shared" si="1"/>
        <v>0</v>
      </c>
      <c r="AQ13" s="3">
        <f t="shared" ca="1" si="2"/>
        <v>0</v>
      </c>
      <c r="AR13" s="1" t="s">
        <v>1</v>
      </c>
      <c r="AS13" s="10">
        <f t="shared" si="3"/>
        <v>0</v>
      </c>
      <c r="AT13" s="10">
        <f t="shared" si="3"/>
        <v>0</v>
      </c>
      <c r="AU13" s="10"/>
      <c r="AV13" s="3">
        <f t="shared" si="4"/>
        <v>0</v>
      </c>
      <c r="AW13" s="3">
        <f t="shared" si="5"/>
        <v>0</v>
      </c>
    </row>
    <row r="14" spans="1:49" ht="13.5" thickBot="1">
      <c r="AA14" s="218">
        <f t="shared" ca="1" si="6"/>
        <v>0</v>
      </c>
      <c r="AB14" s="219"/>
      <c r="AC14" s="219"/>
      <c r="AD14" s="220"/>
      <c r="AE14" s="221"/>
      <c r="AO14" s="3" t="str">
        <f t="shared" si="0"/>
        <v>Конто:</v>
      </c>
      <c r="AP14" s="11">
        <f t="shared" si="1"/>
        <v>0</v>
      </c>
      <c r="AQ14" s="3">
        <f t="shared" ca="1" si="2"/>
        <v>0</v>
      </c>
      <c r="AS14" s="10">
        <f t="shared" si="3"/>
        <v>0</v>
      </c>
      <c r="AT14" s="10">
        <f t="shared" si="3"/>
        <v>0</v>
      </c>
      <c r="AU14" s="10"/>
      <c r="AV14" s="3">
        <f t="shared" si="4"/>
        <v>0</v>
      </c>
      <c r="AW14" s="3">
        <f t="shared" si="5"/>
        <v>0</v>
      </c>
    </row>
    <row r="15" spans="1:49" ht="13.5" thickBot="1">
      <c r="AA15" s="226"/>
      <c r="AB15" s="227"/>
      <c r="AC15" s="227"/>
      <c r="AD15" s="228"/>
      <c r="AE15" s="229"/>
      <c r="AF15" s="226"/>
      <c r="AG15" s="230"/>
      <c r="AH15" s="230"/>
      <c r="AI15" s="230"/>
      <c r="AJ15" s="230"/>
      <c r="AK15" s="230"/>
      <c r="AL15" s="230"/>
      <c r="AM15" s="230"/>
      <c r="AN15" s="230"/>
      <c r="AO15" s="230" t="str">
        <f t="shared" si="0"/>
        <v>Конто:</v>
      </c>
      <c r="AP15" s="231">
        <f t="shared" si="1"/>
        <v>0</v>
      </c>
      <c r="AQ15" s="230">
        <f t="shared" si="2"/>
        <v>0</v>
      </c>
      <c r="AR15" s="230"/>
      <c r="AS15" s="232">
        <f t="shared" si="3"/>
        <v>0</v>
      </c>
      <c r="AT15" s="232">
        <f t="shared" si="3"/>
        <v>0</v>
      </c>
      <c r="AU15" s="230"/>
      <c r="AV15" s="230">
        <f t="shared" si="4"/>
        <v>0</v>
      </c>
      <c r="AW15" s="233">
        <f t="shared" si="5"/>
        <v>0</v>
      </c>
    </row>
    <row r="16" spans="1:49" ht="13.5" thickBot="1">
      <c r="AB16" s="12">
        <f>SUM(AB3:AB15)</f>
        <v>0</v>
      </c>
      <c r="AC16" s="12">
        <f>SUM(AC3:AC15)</f>
        <v>0</v>
      </c>
      <c r="AD16" s="12">
        <f>AB16-AC16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75"/>
  <sheetViews>
    <sheetView workbookViewId="0">
      <selection activeCell="C2" sqref="C2"/>
    </sheetView>
  </sheetViews>
  <sheetFormatPr defaultColWidth="8.85546875" defaultRowHeight="12.75"/>
  <cols>
    <col min="1" max="1" width="8.85546875" style="194" customWidth="1"/>
    <col min="2" max="2" width="9.7109375" style="3" customWidth="1"/>
    <col min="3" max="3" width="38.140625" style="194" customWidth="1"/>
    <col min="4" max="4" width="0.7109375" style="3" customWidth="1"/>
    <col min="5" max="7" width="14.85546875" style="3" customWidth="1"/>
    <col min="8" max="8" width="12.85546875" style="194" customWidth="1"/>
    <col min="9" max="9" width="8.85546875" style="194"/>
    <col min="10" max="16384" width="8.85546875" style="3"/>
  </cols>
  <sheetData>
    <row r="1" spans="1:9" ht="13.5" thickBot="1">
      <c r="A1" s="3"/>
      <c r="C1" s="18"/>
      <c r="D1" s="18"/>
      <c r="G1" s="19"/>
      <c r="H1" s="3"/>
      <c r="I1" s="3"/>
    </row>
    <row r="2" spans="1:9" ht="13.5" thickBot="1">
      <c r="A2" s="3"/>
      <c r="B2" s="20" t="s">
        <v>22</v>
      </c>
      <c r="C2" s="222"/>
      <c r="D2" s="116"/>
      <c r="E2" s="146">
        <f>SUM(E5:E6)</f>
        <v>0</v>
      </c>
      <c r="F2" s="146">
        <f>SUM(F5:F6)</f>
        <v>0</v>
      </c>
      <c r="G2" s="146">
        <f>+E2-F2</f>
        <v>0</v>
      </c>
      <c r="H2" s="147">
        <v>0</v>
      </c>
      <c r="I2" s="3"/>
    </row>
    <row r="3" spans="1:9" ht="13.15" customHeight="1" thickBot="1">
      <c r="A3" s="3"/>
      <c r="C3" s="3"/>
      <c r="E3" s="21"/>
      <c r="F3" s="21"/>
      <c r="G3" s="21"/>
      <c r="H3" s="3"/>
      <c r="I3" s="3"/>
    </row>
    <row r="4" spans="1:9" ht="13.5" thickBot="1">
      <c r="A4" s="148" t="s">
        <v>17</v>
      </c>
      <c r="B4" s="149" t="s">
        <v>18</v>
      </c>
      <c r="C4" s="148" t="s">
        <v>23</v>
      </c>
      <c r="D4" s="148"/>
      <c r="E4" s="148" t="s">
        <v>11</v>
      </c>
      <c r="F4" s="148" t="s">
        <v>12</v>
      </c>
      <c r="G4" s="148" t="s">
        <v>20</v>
      </c>
      <c r="H4" s="148" t="s">
        <v>21</v>
      </c>
      <c r="I4" s="148" t="s">
        <v>13</v>
      </c>
    </row>
    <row r="5" spans="1:9">
      <c r="B5" s="22"/>
      <c r="E5" s="10"/>
      <c r="F5" s="10"/>
      <c r="G5" s="10"/>
    </row>
    <row r="6" spans="1:9">
      <c r="B6" s="22"/>
      <c r="E6" s="10"/>
      <c r="F6" s="10"/>
      <c r="G6" s="10"/>
    </row>
    <row r="7" spans="1:9">
      <c r="B7" s="22"/>
      <c r="E7" s="10"/>
      <c r="F7" s="10"/>
      <c r="G7" s="10"/>
    </row>
    <row r="8" spans="1:9">
      <c r="B8" s="22"/>
      <c r="E8" s="10"/>
      <c r="F8" s="10"/>
      <c r="G8" s="10"/>
    </row>
    <row r="9" spans="1:9">
      <c r="B9" s="22"/>
      <c r="E9" s="10"/>
      <c r="F9" s="10"/>
      <c r="G9" s="10"/>
    </row>
    <row r="10" spans="1:9">
      <c r="B10" s="22"/>
      <c r="E10" s="10"/>
      <c r="F10" s="10"/>
      <c r="G10" s="10"/>
    </row>
    <row r="11" spans="1:9">
      <c r="B11" s="22"/>
      <c r="E11" s="10"/>
      <c r="F11" s="10"/>
      <c r="G11" s="10"/>
    </row>
    <row r="12" spans="1:9">
      <c r="B12" s="22"/>
      <c r="E12" s="10"/>
      <c r="F12" s="10"/>
      <c r="G12" s="10"/>
    </row>
    <row r="13" spans="1:9">
      <c r="B13" s="22"/>
      <c r="E13" s="10"/>
      <c r="F13" s="10"/>
      <c r="G13" s="10"/>
    </row>
    <row r="14" spans="1:9">
      <c r="B14" s="22"/>
      <c r="E14" s="10"/>
      <c r="F14" s="10"/>
      <c r="G14" s="10"/>
    </row>
    <row r="15" spans="1:9">
      <c r="B15" s="22"/>
      <c r="E15" s="10"/>
      <c r="F15" s="10"/>
      <c r="G15" s="10"/>
    </row>
    <row r="16" spans="1:9">
      <c r="B16" s="22"/>
      <c r="E16" s="10"/>
      <c r="F16" s="10"/>
      <c r="G16" s="10"/>
    </row>
    <row r="17" spans="2:7">
      <c r="B17" s="22"/>
      <c r="E17" s="10"/>
      <c r="F17" s="10"/>
      <c r="G17" s="10"/>
    </row>
    <row r="18" spans="2:7">
      <c r="B18" s="22"/>
      <c r="E18" s="10"/>
      <c r="F18" s="10"/>
      <c r="G18" s="10"/>
    </row>
    <row r="19" spans="2:7">
      <c r="B19" s="22"/>
      <c r="E19" s="10"/>
      <c r="F19" s="10"/>
      <c r="G19" s="10"/>
    </row>
    <row r="20" spans="2:7">
      <c r="B20" s="22"/>
      <c r="E20" s="10"/>
      <c r="F20" s="10"/>
      <c r="G20" s="10"/>
    </row>
    <row r="21" spans="2:7">
      <c r="B21" s="22"/>
      <c r="E21" s="10"/>
      <c r="F21" s="10"/>
      <c r="G21" s="10"/>
    </row>
    <row r="22" spans="2:7">
      <c r="B22" s="22"/>
      <c r="E22" s="10"/>
      <c r="F22" s="10"/>
      <c r="G22" s="10"/>
    </row>
    <row r="23" spans="2:7">
      <c r="B23" s="22"/>
      <c r="E23" s="10"/>
      <c r="F23" s="10"/>
      <c r="G23" s="10"/>
    </row>
    <row r="24" spans="2:7">
      <c r="B24" s="22"/>
      <c r="E24" s="10"/>
      <c r="F24" s="10"/>
      <c r="G24" s="10"/>
    </row>
    <row r="25" spans="2:7">
      <c r="B25" s="22"/>
      <c r="E25" s="10"/>
      <c r="F25" s="10"/>
      <c r="G25" s="10"/>
    </row>
    <row r="26" spans="2:7">
      <c r="B26" s="22"/>
      <c r="E26" s="10"/>
      <c r="F26" s="10"/>
      <c r="G26" s="10"/>
    </row>
    <row r="27" spans="2:7">
      <c r="B27" s="22"/>
      <c r="E27" s="10"/>
      <c r="F27" s="10"/>
      <c r="G27" s="10"/>
    </row>
    <row r="28" spans="2:7">
      <c r="B28" s="22"/>
      <c r="E28" s="10"/>
      <c r="F28" s="10"/>
      <c r="G28" s="10"/>
    </row>
    <row r="29" spans="2:7">
      <c r="B29" s="22"/>
      <c r="E29" s="10"/>
      <c r="F29" s="10"/>
      <c r="G29" s="10"/>
    </row>
    <row r="30" spans="2:7">
      <c r="B30" s="22"/>
      <c r="E30" s="10"/>
      <c r="F30" s="10"/>
      <c r="G30" s="10"/>
    </row>
    <row r="31" spans="2:7">
      <c r="B31" s="22"/>
      <c r="E31" s="10"/>
      <c r="F31" s="10"/>
      <c r="G31" s="10"/>
    </row>
    <row r="32" spans="2:7">
      <c r="B32" s="22"/>
      <c r="E32" s="10"/>
      <c r="F32" s="10"/>
      <c r="G32" s="10"/>
    </row>
    <row r="33" spans="2:7">
      <c r="B33" s="22"/>
      <c r="E33" s="10"/>
      <c r="F33" s="10"/>
      <c r="G33" s="10"/>
    </row>
    <row r="34" spans="2:7">
      <c r="B34" s="22"/>
      <c r="E34" s="10"/>
      <c r="F34" s="10"/>
      <c r="G34" s="10"/>
    </row>
    <row r="35" spans="2:7">
      <c r="B35" s="22"/>
      <c r="E35" s="10"/>
      <c r="F35" s="10"/>
      <c r="G35" s="10"/>
    </row>
    <row r="36" spans="2:7">
      <c r="B36" s="22"/>
      <c r="E36" s="10"/>
      <c r="F36" s="10"/>
      <c r="G36" s="10"/>
    </row>
    <row r="37" spans="2:7">
      <c r="B37" s="22"/>
      <c r="E37" s="10"/>
      <c r="F37" s="10"/>
      <c r="G37" s="10"/>
    </row>
    <row r="38" spans="2:7">
      <c r="B38" s="22"/>
      <c r="E38" s="10"/>
      <c r="F38" s="10"/>
      <c r="G38" s="10"/>
    </row>
    <row r="39" spans="2:7">
      <c r="B39" s="22"/>
      <c r="E39" s="10"/>
      <c r="F39" s="10"/>
      <c r="G39" s="10"/>
    </row>
    <row r="40" spans="2:7">
      <c r="B40" s="22"/>
      <c r="E40" s="10"/>
      <c r="F40" s="10"/>
      <c r="G40" s="10"/>
    </row>
    <row r="41" spans="2:7">
      <c r="B41" s="22"/>
      <c r="E41" s="10"/>
      <c r="F41" s="10"/>
      <c r="G41" s="10"/>
    </row>
    <row r="42" spans="2:7">
      <c r="B42" s="22"/>
      <c r="E42" s="10"/>
      <c r="F42" s="10"/>
      <c r="G42" s="10"/>
    </row>
    <row r="43" spans="2:7">
      <c r="B43" s="22"/>
      <c r="E43" s="10"/>
      <c r="F43" s="10"/>
      <c r="G43" s="10"/>
    </row>
    <row r="44" spans="2:7">
      <c r="B44" s="22"/>
      <c r="E44" s="10"/>
      <c r="F44" s="10"/>
      <c r="G44" s="10"/>
    </row>
    <row r="45" spans="2:7">
      <c r="B45" s="22"/>
      <c r="E45" s="10"/>
      <c r="F45" s="10"/>
      <c r="G45" s="10"/>
    </row>
    <row r="46" spans="2:7">
      <c r="B46" s="22"/>
      <c r="E46" s="10"/>
      <c r="F46" s="10"/>
      <c r="G46" s="10"/>
    </row>
    <row r="47" spans="2:7">
      <c r="B47" s="22"/>
      <c r="E47" s="10"/>
      <c r="F47" s="10"/>
      <c r="G47" s="10"/>
    </row>
    <row r="48" spans="2:7">
      <c r="B48" s="22"/>
      <c r="E48" s="10"/>
      <c r="F48" s="10"/>
      <c r="G48" s="10"/>
    </row>
    <row r="49" spans="2:7">
      <c r="B49" s="22"/>
      <c r="E49" s="10"/>
      <c r="F49" s="10"/>
      <c r="G49" s="10"/>
    </row>
    <row r="50" spans="2:7">
      <c r="B50" s="22"/>
      <c r="E50" s="10"/>
      <c r="F50" s="10"/>
      <c r="G50" s="10"/>
    </row>
    <row r="51" spans="2:7">
      <c r="B51" s="22"/>
      <c r="E51" s="10"/>
      <c r="F51" s="10"/>
      <c r="G51" s="10"/>
    </row>
    <row r="52" spans="2:7">
      <c r="B52" s="22"/>
      <c r="E52" s="10"/>
      <c r="F52" s="10"/>
      <c r="G52" s="10"/>
    </row>
    <row r="53" spans="2:7">
      <c r="B53" s="22"/>
      <c r="E53" s="10"/>
      <c r="F53" s="10"/>
      <c r="G53" s="10"/>
    </row>
    <row r="54" spans="2:7">
      <c r="B54" s="22"/>
      <c r="E54" s="10"/>
      <c r="F54" s="10"/>
      <c r="G54" s="10"/>
    </row>
    <row r="55" spans="2:7">
      <c r="B55" s="22"/>
      <c r="E55" s="10"/>
      <c r="F55" s="10"/>
      <c r="G55" s="10"/>
    </row>
    <row r="56" spans="2:7">
      <c r="B56" s="22"/>
      <c r="E56" s="10"/>
      <c r="F56" s="10"/>
      <c r="G56" s="10"/>
    </row>
    <row r="57" spans="2:7">
      <c r="B57" s="22"/>
      <c r="E57" s="10"/>
      <c r="F57" s="10"/>
      <c r="G57" s="10"/>
    </row>
    <row r="58" spans="2:7">
      <c r="B58" s="22"/>
      <c r="E58" s="10"/>
      <c r="F58" s="10"/>
      <c r="G58" s="10"/>
    </row>
    <row r="59" spans="2:7">
      <c r="B59" s="22"/>
      <c r="E59" s="10"/>
      <c r="F59" s="10"/>
      <c r="G59" s="10"/>
    </row>
    <row r="60" spans="2:7">
      <c r="B60" s="22"/>
      <c r="E60" s="10"/>
      <c r="F60" s="10"/>
      <c r="G60" s="10"/>
    </row>
    <row r="61" spans="2:7">
      <c r="B61" s="22"/>
      <c r="E61" s="10"/>
      <c r="F61" s="10"/>
      <c r="G61" s="10"/>
    </row>
    <row r="62" spans="2:7">
      <c r="B62" s="22"/>
      <c r="E62" s="10"/>
      <c r="F62" s="10"/>
      <c r="G62" s="10"/>
    </row>
    <row r="63" spans="2:7">
      <c r="B63" s="22"/>
      <c r="E63" s="10"/>
      <c r="F63" s="10"/>
      <c r="G63" s="10"/>
    </row>
    <row r="64" spans="2:7">
      <c r="B64" s="22"/>
      <c r="E64" s="10"/>
      <c r="F64" s="10"/>
      <c r="G64" s="10"/>
    </row>
    <row r="65" spans="2:7">
      <c r="B65" s="22"/>
      <c r="E65" s="10"/>
      <c r="F65" s="10"/>
      <c r="G65" s="10"/>
    </row>
    <row r="66" spans="2:7">
      <c r="B66" s="22"/>
      <c r="E66" s="10"/>
      <c r="F66" s="10"/>
      <c r="G66" s="10"/>
    </row>
    <row r="67" spans="2:7">
      <c r="B67" s="22"/>
      <c r="E67" s="10"/>
      <c r="F67" s="10"/>
      <c r="G67" s="10"/>
    </row>
    <row r="68" spans="2:7">
      <c r="B68" s="22"/>
      <c r="E68" s="10"/>
      <c r="F68" s="10"/>
      <c r="G68" s="10"/>
    </row>
    <row r="69" spans="2:7">
      <c r="B69" s="22"/>
      <c r="E69" s="10"/>
      <c r="F69" s="10"/>
      <c r="G69" s="10"/>
    </row>
    <row r="70" spans="2:7">
      <c r="B70" s="22"/>
      <c r="E70" s="10"/>
      <c r="F70" s="10"/>
      <c r="G70" s="10"/>
    </row>
    <row r="71" spans="2:7">
      <c r="B71" s="22"/>
      <c r="E71" s="10"/>
      <c r="F71" s="10"/>
      <c r="G71" s="10"/>
    </row>
    <row r="72" spans="2:7">
      <c r="B72" s="22"/>
      <c r="E72" s="10"/>
      <c r="F72" s="10"/>
      <c r="G72" s="10"/>
    </row>
    <row r="73" spans="2:7">
      <c r="B73" s="22"/>
      <c r="E73" s="10"/>
      <c r="F73" s="10"/>
      <c r="G73" s="10"/>
    </row>
    <row r="74" spans="2:7">
      <c r="B74" s="22"/>
      <c r="E74" s="10"/>
      <c r="F74" s="10"/>
      <c r="G74" s="10"/>
    </row>
    <row r="75" spans="2:7">
      <c r="B75" s="22"/>
      <c r="E75" s="10"/>
      <c r="F75" s="10"/>
      <c r="G75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657"/>
  <sheetViews>
    <sheetView workbookViewId="0">
      <selection activeCell="C1" sqref="C1"/>
    </sheetView>
  </sheetViews>
  <sheetFormatPr defaultRowHeight="15"/>
  <cols>
    <col min="2" max="2" width="9.7109375" bestFit="1" customWidth="1"/>
    <col min="3" max="3" width="46.28515625" customWidth="1"/>
    <col min="4" max="4" width="0.42578125" customWidth="1"/>
    <col min="5" max="8" width="14.85546875" customWidth="1"/>
  </cols>
  <sheetData>
    <row r="657" ht="13.15" customHeight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"/>
  <sheetViews>
    <sheetView workbookViewId="0">
      <selection activeCell="G21" sqref="G21"/>
    </sheetView>
  </sheetViews>
  <sheetFormatPr defaultColWidth="8.85546875" defaultRowHeight="15"/>
  <cols>
    <col min="1" max="1" width="8.85546875" customWidth="1"/>
    <col min="2" max="2" width="9.7109375" customWidth="1"/>
    <col min="3" max="3" width="38.140625" customWidth="1"/>
    <col min="4" max="4" width="0.7109375" customWidth="1"/>
    <col min="5" max="5" width="17.85546875" customWidth="1"/>
    <col min="6" max="6" width="17.7109375" customWidth="1"/>
    <col min="7" max="7" width="14.85546875" customWidth="1"/>
    <col min="8" max="8" width="12.85546875" customWidth="1"/>
    <col min="9" max="9" width="13.85546875" customWidth="1"/>
  </cols>
  <sheetData>
    <row r="3" ht="13.15" customHeight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80"/>
  <sheetViews>
    <sheetView topLeftCell="B1" zoomScale="90" zoomScaleNormal="90" workbookViewId="0">
      <selection activeCell="F5" sqref="F5:I1048576"/>
    </sheetView>
  </sheetViews>
  <sheetFormatPr defaultRowHeight="15"/>
  <cols>
    <col min="1" max="1" width="12.85546875" customWidth="1"/>
    <col min="2" max="2" width="9.85546875" style="196" customWidth="1"/>
    <col min="3" max="3" width="37.85546875" style="196" customWidth="1"/>
    <col min="4" max="4" width="25.7109375" style="196" customWidth="1"/>
    <col min="5" max="6" width="25.85546875" style="196" customWidth="1"/>
    <col min="7" max="8" width="20.85546875" style="196" customWidth="1"/>
    <col min="9" max="9" width="30.85546875" style="196" customWidth="1"/>
  </cols>
  <sheetData>
    <row r="1" spans="1:9" ht="15.75" thickBot="1">
      <c r="B1"/>
      <c r="C1"/>
      <c r="D1"/>
      <c r="E1"/>
      <c r="F1"/>
      <c r="G1"/>
      <c r="H1"/>
      <c r="I1"/>
    </row>
    <row r="2" spans="1:9" ht="15.75" thickBot="1">
      <c r="B2"/>
      <c r="C2" s="117" t="s">
        <v>24</v>
      </c>
      <c r="D2"/>
      <c r="E2"/>
      <c r="F2"/>
      <c r="G2"/>
      <c r="H2"/>
      <c r="I2"/>
    </row>
    <row r="3" spans="1:9">
      <c r="A3" s="23"/>
      <c r="B3"/>
      <c r="C3"/>
      <c r="D3"/>
      <c r="E3"/>
      <c r="F3"/>
      <c r="G3"/>
      <c r="H3"/>
      <c r="I3"/>
    </row>
    <row r="4" spans="1:9">
      <c r="A4" s="150" t="s">
        <v>20</v>
      </c>
      <c r="B4" s="150" t="s">
        <v>13</v>
      </c>
      <c r="C4" s="150" t="s">
        <v>25</v>
      </c>
      <c r="D4" s="150" t="s">
        <v>26</v>
      </c>
      <c r="E4" s="150" t="s">
        <v>27</v>
      </c>
      <c r="F4" s="151" t="s">
        <v>28</v>
      </c>
      <c r="G4" s="150" t="s">
        <v>29</v>
      </c>
      <c r="H4" s="150" t="s">
        <v>30</v>
      </c>
      <c r="I4" s="150" t="s">
        <v>31</v>
      </c>
    </row>
    <row r="5" spans="1:9">
      <c r="A5" s="192"/>
      <c r="B5" s="195"/>
      <c r="C5" s="197"/>
      <c r="D5" s="198"/>
      <c r="E5" s="197"/>
      <c r="F5" s="201"/>
      <c r="G5" s="201"/>
      <c r="H5" s="201"/>
      <c r="I5" s="202"/>
    </row>
    <row r="6" spans="1:9">
      <c r="A6" s="192"/>
      <c r="B6" s="195"/>
      <c r="C6" s="197"/>
      <c r="D6" s="198"/>
      <c r="E6" s="197"/>
      <c r="F6" s="201"/>
      <c r="G6" s="201"/>
      <c r="H6" s="201"/>
      <c r="I6" s="198"/>
    </row>
    <row r="7" spans="1:9">
      <c r="A7" s="192"/>
      <c r="B7" s="195"/>
      <c r="C7" s="197"/>
      <c r="D7" s="198"/>
      <c r="E7" s="200"/>
      <c r="F7" s="201"/>
      <c r="G7" s="203"/>
      <c r="H7" s="203"/>
      <c r="I7" s="198"/>
    </row>
    <row r="8" spans="1:9">
      <c r="A8" s="192"/>
      <c r="B8" s="195"/>
      <c r="C8" s="197"/>
      <c r="D8" s="198"/>
      <c r="E8" s="197"/>
      <c r="F8" s="201"/>
      <c r="G8" s="201"/>
      <c r="H8" s="201"/>
      <c r="I8" s="198"/>
    </row>
    <row r="9" spans="1:9">
      <c r="A9" s="192"/>
      <c r="B9" s="195"/>
      <c r="C9" s="197"/>
      <c r="D9" s="198"/>
      <c r="E9" s="200"/>
      <c r="F9" s="201"/>
      <c r="G9" s="201"/>
      <c r="H9" s="201"/>
      <c r="I9" s="198"/>
    </row>
    <row r="10" spans="1:9">
      <c r="A10" s="192"/>
      <c r="B10" s="195"/>
      <c r="C10" s="197"/>
      <c r="D10" s="198"/>
      <c r="E10" s="197"/>
      <c r="F10" s="201"/>
      <c r="G10" s="203"/>
      <c r="H10" s="203"/>
      <c r="I10" s="198"/>
    </row>
    <row r="11" spans="1:9">
      <c r="A11" s="192"/>
      <c r="B11" s="195"/>
      <c r="C11" s="197"/>
      <c r="D11" s="198"/>
      <c r="E11" s="197"/>
      <c r="F11" s="201"/>
      <c r="G11" s="201"/>
      <c r="H11" s="201"/>
      <c r="I11" s="198"/>
    </row>
    <row r="12" spans="1:9">
      <c r="A12" s="192"/>
      <c r="B12" s="195"/>
      <c r="C12" s="197"/>
      <c r="D12" s="198"/>
      <c r="E12" s="197"/>
      <c r="F12" s="201"/>
      <c r="G12" s="201"/>
      <c r="H12" s="201"/>
      <c r="I12" s="198"/>
    </row>
    <row r="13" spans="1:9">
      <c r="A13" s="193"/>
      <c r="B13" s="195"/>
      <c r="C13" s="197"/>
      <c r="D13" s="198"/>
      <c r="E13" s="197"/>
      <c r="F13" s="201"/>
      <c r="G13" s="201"/>
      <c r="H13" s="201"/>
      <c r="I13" s="198"/>
    </row>
    <row r="14" spans="1:9">
      <c r="A14" s="192"/>
      <c r="B14" s="195"/>
      <c r="C14" s="197"/>
      <c r="D14" s="198"/>
      <c r="E14" s="197"/>
      <c r="F14" s="201"/>
      <c r="G14" s="201"/>
      <c r="H14" s="201"/>
      <c r="I14" s="198"/>
    </row>
    <row r="15" spans="1:9">
      <c r="A15" s="192"/>
      <c r="B15" s="195"/>
      <c r="C15" s="197"/>
      <c r="D15" s="198"/>
      <c r="E15" s="197"/>
      <c r="F15" s="201"/>
      <c r="G15" s="201"/>
      <c r="H15" s="201"/>
      <c r="I15" s="198"/>
    </row>
    <row r="16" spans="1:9">
      <c r="A16" s="192"/>
      <c r="B16" s="195"/>
      <c r="C16" s="197"/>
      <c r="D16" s="198"/>
      <c r="E16" s="197"/>
      <c r="F16" s="201"/>
      <c r="G16" s="203"/>
      <c r="H16" s="203"/>
      <c r="I16" s="198"/>
    </row>
    <row r="17" spans="1:9">
      <c r="A17" s="192"/>
      <c r="B17" s="195"/>
      <c r="C17" s="197"/>
      <c r="D17" s="198"/>
      <c r="E17" s="197"/>
      <c r="F17" s="201"/>
      <c r="G17" s="201"/>
      <c r="H17" s="201"/>
      <c r="I17" s="198"/>
    </row>
    <row r="18" spans="1:9">
      <c r="A18" s="192"/>
      <c r="B18" s="195"/>
      <c r="C18" s="197"/>
      <c r="D18" s="198"/>
      <c r="E18" s="197"/>
      <c r="F18" s="201"/>
      <c r="G18" s="201"/>
      <c r="H18" s="201"/>
      <c r="I18" s="198"/>
    </row>
    <row r="19" spans="1:9">
      <c r="A19" s="192"/>
      <c r="B19" s="195"/>
      <c r="C19" s="197"/>
      <c r="D19" s="198"/>
      <c r="E19" s="197"/>
      <c r="F19" s="201"/>
      <c r="G19" s="201"/>
      <c r="H19" s="201"/>
      <c r="I19" s="198"/>
    </row>
    <row r="20" spans="1:9">
      <c r="A20" s="192"/>
      <c r="B20" s="195"/>
      <c r="C20" s="197"/>
      <c r="D20" s="198"/>
      <c r="E20" s="197"/>
      <c r="F20" s="201"/>
      <c r="G20" s="201"/>
      <c r="H20" s="201"/>
      <c r="I20" s="198"/>
    </row>
    <row r="21" spans="1:9">
      <c r="A21" s="192"/>
      <c r="B21" s="195"/>
      <c r="C21" s="197"/>
      <c r="D21" s="199"/>
      <c r="E21" s="197"/>
      <c r="F21" s="201"/>
      <c r="G21" s="201"/>
      <c r="H21" s="201"/>
      <c r="I21" s="198"/>
    </row>
    <row r="22" spans="1:9">
      <c r="A22" s="192"/>
      <c r="B22" s="195"/>
      <c r="C22" s="197"/>
      <c r="D22" s="199"/>
      <c r="E22" s="197"/>
      <c r="F22" s="201"/>
      <c r="G22" s="201"/>
      <c r="H22" s="201"/>
      <c r="I22" s="198"/>
    </row>
    <row r="23" spans="1:9">
      <c r="A23" s="192"/>
      <c r="B23" s="195"/>
      <c r="C23" s="197"/>
      <c r="D23" s="199"/>
      <c r="E23" s="197"/>
      <c r="F23" s="201"/>
      <c r="G23" s="201"/>
      <c r="H23" s="201"/>
      <c r="I23" s="198"/>
    </row>
    <row r="24" spans="1:9">
      <c r="A24" s="192"/>
      <c r="B24" s="195"/>
      <c r="C24" s="197"/>
      <c r="D24" s="198"/>
      <c r="E24" s="200"/>
      <c r="F24" s="201"/>
      <c r="G24" s="203"/>
      <c r="H24" s="203"/>
      <c r="I24" s="198"/>
    </row>
    <row r="25" spans="1:9">
      <c r="A25" s="192"/>
      <c r="B25" s="195"/>
      <c r="C25" s="197"/>
      <c r="D25" s="198"/>
      <c r="E25" s="197"/>
      <c r="F25" s="201"/>
      <c r="G25" s="201"/>
      <c r="H25" s="201"/>
      <c r="I25" s="198"/>
    </row>
    <row r="26" spans="1:9">
      <c r="A26" s="192"/>
      <c r="B26" s="195"/>
      <c r="C26" s="197"/>
      <c r="D26" s="198"/>
      <c r="E26" s="200"/>
      <c r="F26" s="201"/>
      <c r="G26" s="201"/>
      <c r="H26" s="201"/>
      <c r="I26" s="198"/>
    </row>
    <row r="27" spans="1:9">
      <c r="A27" s="192"/>
      <c r="B27" s="195"/>
      <c r="C27" s="197"/>
      <c r="D27" s="198"/>
      <c r="E27" s="197"/>
      <c r="F27" s="201"/>
      <c r="G27" s="201"/>
      <c r="H27" s="201"/>
      <c r="I27" s="198"/>
    </row>
    <row r="28" spans="1:9">
      <c r="A28" s="192"/>
      <c r="B28" s="195"/>
      <c r="C28" s="197"/>
      <c r="D28" s="198"/>
      <c r="E28" s="197"/>
      <c r="F28" s="201"/>
      <c r="G28" s="201"/>
      <c r="H28" s="201"/>
      <c r="I28" s="198"/>
    </row>
    <row r="29" spans="1:9">
      <c r="A29" s="192"/>
      <c r="B29" s="195"/>
      <c r="C29" s="197"/>
      <c r="D29" s="199"/>
      <c r="E29" s="197"/>
      <c r="F29" s="201"/>
      <c r="G29" s="201"/>
      <c r="H29" s="201"/>
      <c r="I29" s="198"/>
    </row>
    <row r="30" spans="1:9">
      <c r="A30" s="192"/>
      <c r="B30" s="195"/>
      <c r="C30" s="197"/>
      <c r="D30" s="199"/>
      <c r="E30" s="197"/>
      <c r="F30" s="201"/>
      <c r="G30" s="201"/>
      <c r="H30" s="201"/>
      <c r="I30" s="198"/>
    </row>
    <row r="31" spans="1:9">
      <c r="A31" s="192"/>
      <c r="B31" s="195"/>
      <c r="C31" s="197"/>
      <c r="D31" s="199"/>
      <c r="E31" s="197"/>
      <c r="F31" s="201"/>
      <c r="G31" s="201"/>
      <c r="H31" s="201"/>
      <c r="I31" s="198"/>
    </row>
    <row r="32" spans="1:9">
      <c r="A32" s="192"/>
      <c r="B32" s="195"/>
      <c r="C32" s="197"/>
      <c r="D32" s="198"/>
      <c r="E32" s="197"/>
      <c r="F32" s="201"/>
      <c r="G32" s="201"/>
      <c r="H32" s="201"/>
      <c r="I32" s="198"/>
    </row>
    <row r="33" spans="1:9">
      <c r="A33" s="192"/>
      <c r="B33" s="195"/>
      <c r="C33" s="197"/>
      <c r="D33" s="198"/>
      <c r="E33" s="197"/>
      <c r="F33" s="201"/>
      <c r="G33" s="201"/>
      <c r="H33" s="201"/>
      <c r="I33" s="198"/>
    </row>
    <row r="34" spans="1:9">
      <c r="A34" s="192"/>
      <c r="B34" s="195"/>
      <c r="C34" s="197"/>
      <c r="D34" s="198"/>
      <c r="E34" s="197"/>
      <c r="F34" s="201"/>
      <c r="G34" s="203"/>
      <c r="H34" s="203"/>
      <c r="I34" s="198"/>
    </row>
    <row r="35" spans="1:9">
      <c r="A35" s="192"/>
      <c r="B35" s="195"/>
      <c r="C35" s="197"/>
      <c r="D35" s="198"/>
      <c r="E35" s="197"/>
      <c r="F35" s="201"/>
      <c r="G35" s="203"/>
      <c r="H35" s="203"/>
      <c r="I35" s="198"/>
    </row>
    <row r="36" spans="1:9">
      <c r="A36" s="192"/>
      <c r="B36" s="195"/>
      <c r="C36" s="197"/>
      <c r="D36" s="198"/>
      <c r="E36" s="197"/>
      <c r="F36" s="201"/>
      <c r="G36" s="201"/>
      <c r="H36" s="201"/>
      <c r="I36" s="198"/>
    </row>
    <row r="37" spans="1:9">
      <c r="A37" s="192"/>
      <c r="B37" s="195"/>
      <c r="C37" s="197"/>
      <c r="D37" s="198"/>
      <c r="E37" s="197"/>
      <c r="F37" s="201"/>
      <c r="G37" s="201"/>
      <c r="H37" s="201"/>
      <c r="I37" s="198"/>
    </row>
    <row r="38" spans="1:9">
      <c r="A38" s="192"/>
      <c r="B38" s="195"/>
      <c r="C38" s="197"/>
      <c r="D38" s="198"/>
      <c r="E38" s="197"/>
      <c r="F38" s="201"/>
      <c r="G38" s="201"/>
      <c r="H38" s="201"/>
      <c r="I38" s="198"/>
    </row>
    <row r="39" spans="1:9">
      <c r="A39" s="192"/>
      <c r="B39" s="195"/>
      <c r="C39" s="197"/>
      <c r="D39" s="198"/>
      <c r="E39" s="197"/>
      <c r="F39" s="201"/>
      <c r="G39" s="201"/>
      <c r="H39" s="201"/>
      <c r="I39" s="198"/>
    </row>
    <row r="40" spans="1:9">
      <c r="A40" s="192"/>
      <c r="B40" s="195"/>
      <c r="C40" s="197"/>
      <c r="D40" s="198"/>
      <c r="E40" s="197"/>
      <c r="F40" s="201"/>
      <c r="G40" s="201"/>
      <c r="H40" s="201"/>
      <c r="I40" s="198"/>
    </row>
    <row r="41" spans="1:9">
      <c r="A41" s="192"/>
      <c r="B41" s="195"/>
      <c r="C41" s="197"/>
      <c r="D41" s="198"/>
      <c r="E41" s="197"/>
      <c r="F41" s="201"/>
      <c r="G41" s="201"/>
      <c r="H41" s="201"/>
      <c r="I41" s="198"/>
    </row>
    <row r="42" spans="1:9">
      <c r="A42" s="192"/>
      <c r="B42" s="195"/>
      <c r="C42" s="197"/>
      <c r="D42" s="198"/>
      <c r="E42" s="197"/>
      <c r="F42" s="201"/>
      <c r="G42" s="201"/>
      <c r="H42" s="201"/>
      <c r="I42" s="198"/>
    </row>
    <row r="43" spans="1:9">
      <c r="A43" s="192"/>
      <c r="B43" s="195"/>
      <c r="C43" s="197"/>
      <c r="D43" s="198"/>
      <c r="E43" s="197"/>
      <c r="F43" s="201"/>
      <c r="G43" s="201"/>
      <c r="H43" s="201"/>
      <c r="I43" s="198"/>
    </row>
    <row r="44" spans="1:9">
      <c r="A44" s="192"/>
      <c r="B44" s="195"/>
      <c r="C44" s="197"/>
      <c r="D44" s="198"/>
      <c r="E44" s="197"/>
      <c r="F44" s="201"/>
      <c r="G44" s="203"/>
      <c r="H44" s="203"/>
      <c r="I44" s="198"/>
    </row>
    <row r="45" spans="1:9">
      <c r="A45" s="192"/>
      <c r="B45" s="195"/>
      <c r="C45" s="197"/>
      <c r="D45" s="198"/>
      <c r="E45" s="197"/>
      <c r="F45" s="201"/>
      <c r="G45" s="201"/>
      <c r="H45" s="201"/>
      <c r="I45" s="198"/>
    </row>
    <row r="46" spans="1:9">
      <c r="A46" s="192"/>
      <c r="B46" s="195"/>
      <c r="C46" s="197"/>
      <c r="D46" s="198"/>
      <c r="E46" s="197"/>
      <c r="F46" s="201"/>
      <c r="G46" s="201"/>
      <c r="H46" s="201"/>
      <c r="I46" s="198"/>
    </row>
    <row r="47" spans="1:9">
      <c r="A47" s="192"/>
      <c r="B47" s="195"/>
      <c r="C47" s="197"/>
      <c r="D47" s="198"/>
      <c r="E47" s="197"/>
      <c r="F47" s="201"/>
      <c r="G47" s="201"/>
      <c r="H47" s="201"/>
      <c r="I47" s="198"/>
    </row>
    <row r="48" spans="1:9">
      <c r="A48" s="192"/>
      <c r="B48" s="195"/>
      <c r="C48" s="197"/>
      <c r="D48" s="198"/>
      <c r="E48" s="197"/>
      <c r="F48" s="201"/>
      <c r="G48" s="201"/>
      <c r="H48" s="201"/>
      <c r="I48" s="198"/>
    </row>
    <row r="49" spans="1:9">
      <c r="A49" s="192"/>
      <c r="B49" s="195"/>
      <c r="C49" s="197"/>
      <c r="D49" s="198"/>
      <c r="E49" s="197"/>
      <c r="F49" s="201"/>
      <c r="G49" s="201"/>
      <c r="H49" s="201"/>
      <c r="I49" s="198"/>
    </row>
    <row r="50" spans="1:9">
      <c r="A50" s="192"/>
      <c r="B50" s="195"/>
      <c r="C50" s="197"/>
      <c r="D50" s="198"/>
      <c r="E50" s="197"/>
      <c r="F50" s="201"/>
      <c r="G50" s="203"/>
      <c r="H50" s="203"/>
      <c r="I50" s="198"/>
    </row>
    <row r="51" spans="1:9">
      <c r="A51" s="192"/>
      <c r="B51" s="195"/>
      <c r="C51" s="197"/>
      <c r="D51" s="198"/>
      <c r="E51" s="197"/>
      <c r="F51" s="201"/>
      <c r="G51" s="201"/>
      <c r="H51" s="201"/>
      <c r="I51" s="198"/>
    </row>
    <row r="52" spans="1:9">
      <c r="A52" s="192"/>
      <c r="B52" s="195"/>
      <c r="C52" s="197"/>
      <c r="D52" s="198"/>
      <c r="E52" s="197"/>
      <c r="F52" s="201"/>
      <c r="G52" s="201"/>
      <c r="H52" s="201"/>
      <c r="I52" s="198"/>
    </row>
    <row r="53" spans="1:9">
      <c r="A53" s="192"/>
      <c r="B53" s="195"/>
      <c r="C53" s="197"/>
      <c r="D53" s="198"/>
      <c r="E53" s="200"/>
      <c r="F53" s="201"/>
      <c r="G53" s="201"/>
      <c r="H53" s="201"/>
      <c r="I53" s="198"/>
    </row>
    <row r="54" spans="1:9">
      <c r="A54" s="192"/>
      <c r="B54" s="195"/>
      <c r="C54" s="197"/>
      <c r="D54" s="198"/>
      <c r="E54" s="197"/>
      <c r="F54" s="201"/>
      <c r="G54" s="201"/>
      <c r="H54" s="201"/>
      <c r="I54" s="198"/>
    </row>
    <row r="55" spans="1:9">
      <c r="A55" s="192"/>
      <c r="B55" s="195"/>
      <c r="C55" s="197"/>
      <c r="D55" s="198"/>
      <c r="E55" s="197"/>
      <c r="F55" s="201"/>
      <c r="G55" s="203"/>
      <c r="H55" s="203"/>
      <c r="I55" s="198"/>
    </row>
    <row r="56" spans="1:9">
      <c r="A56" s="192"/>
      <c r="B56" s="195"/>
      <c r="C56" s="197"/>
      <c r="D56" s="198"/>
      <c r="E56" s="197"/>
      <c r="F56" s="201"/>
      <c r="G56" s="201"/>
      <c r="H56" s="201"/>
      <c r="I56" s="198"/>
    </row>
    <row r="57" spans="1:9">
      <c r="A57" s="192"/>
      <c r="B57" s="195"/>
      <c r="C57" s="197"/>
      <c r="D57" s="198"/>
      <c r="E57" s="197"/>
      <c r="F57" s="201"/>
      <c r="G57" s="201"/>
      <c r="H57" s="201"/>
      <c r="I57" s="198"/>
    </row>
    <row r="58" spans="1:9">
      <c r="A58" s="192"/>
      <c r="B58" s="195"/>
      <c r="C58" s="197"/>
      <c r="D58" s="198"/>
      <c r="E58" s="197"/>
      <c r="F58" s="201"/>
      <c r="G58" s="201"/>
      <c r="H58" s="201"/>
      <c r="I58" s="198"/>
    </row>
    <row r="59" spans="1:9">
      <c r="A59" s="192"/>
      <c r="B59" s="195"/>
      <c r="C59" s="197"/>
      <c r="D59" s="198"/>
      <c r="E59" s="197"/>
      <c r="F59" s="201"/>
      <c r="G59" s="201"/>
      <c r="H59" s="201"/>
      <c r="I59" s="198"/>
    </row>
    <row r="60" spans="1:9">
      <c r="A60" s="192"/>
      <c r="B60" s="195"/>
      <c r="C60" s="197"/>
      <c r="D60" s="198"/>
      <c r="E60" s="197"/>
      <c r="F60" s="201"/>
      <c r="G60" s="201"/>
      <c r="H60" s="201"/>
      <c r="I60" s="198"/>
    </row>
    <row r="61" spans="1:9">
      <c r="A61" s="192"/>
      <c r="B61" s="195"/>
      <c r="C61" s="197"/>
      <c r="D61" s="198"/>
      <c r="E61" s="197"/>
      <c r="F61" s="201"/>
      <c r="G61" s="201"/>
      <c r="H61" s="201"/>
      <c r="I61" s="198"/>
    </row>
    <row r="62" spans="1:9">
      <c r="A62" s="192"/>
      <c r="B62" s="195"/>
      <c r="C62" s="197"/>
      <c r="D62" s="198"/>
      <c r="E62" s="197"/>
      <c r="F62" s="201"/>
      <c r="G62" s="203"/>
      <c r="H62" s="203"/>
      <c r="I62" s="198"/>
    </row>
    <row r="63" spans="1:9">
      <c r="A63" s="192"/>
      <c r="B63" s="195"/>
      <c r="C63" s="197"/>
      <c r="D63" s="198"/>
      <c r="E63" s="197"/>
      <c r="F63" s="201"/>
      <c r="G63" s="203"/>
      <c r="H63" s="203"/>
      <c r="I63" s="198"/>
    </row>
    <row r="64" spans="1:9">
      <c r="A64" s="192"/>
      <c r="B64" s="195"/>
      <c r="C64" s="197"/>
      <c r="D64" s="198"/>
      <c r="E64" s="197"/>
      <c r="F64" s="201"/>
      <c r="G64" s="201"/>
      <c r="H64" s="201"/>
      <c r="I64" s="198"/>
    </row>
    <row r="65" spans="1:9">
      <c r="A65" s="192"/>
      <c r="B65" s="195"/>
      <c r="C65" s="197"/>
      <c r="D65" s="198"/>
      <c r="E65" s="197"/>
      <c r="F65" s="201"/>
      <c r="G65" s="203"/>
      <c r="H65" s="203"/>
      <c r="I65" s="198"/>
    </row>
    <row r="66" spans="1:9">
      <c r="A66" s="192"/>
      <c r="B66" s="195"/>
      <c r="C66" s="197"/>
      <c r="D66" s="198"/>
      <c r="E66" s="197"/>
      <c r="F66" s="201"/>
      <c r="G66" s="201"/>
      <c r="H66" s="201"/>
      <c r="I66" s="198"/>
    </row>
    <row r="67" spans="1:9">
      <c r="A67" s="192"/>
      <c r="B67" s="195"/>
      <c r="C67" s="197"/>
      <c r="D67" s="198"/>
      <c r="E67" s="197"/>
      <c r="F67" s="201"/>
      <c r="G67" s="201"/>
      <c r="H67" s="201"/>
      <c r="I67" s="198"/>
    </row>
    <row r="68" spans="1:9">
      <c r="A68" s="192"/>
      <c r="B68" s="195"/>
      <c r="C68" s="197"/>
      <c r="D68" s="198"/>
      <c r="E68" s="200"/>
      <c r="F68" s="201"/>
      <c r="G68" s="201"/>
      <c r="H68" s="201"/>
      <c r="I68" s="198"/>
    </row>
    <row r="69" spans="1:9">
      <c r="A69" s="192"/>
      <c r="B69" s="195"/>
      <c r="C69" s="197"/>
      <c r="D69" s="198"/>
      <c r="E69" s="200"/>
      <c r="F69" s="201"/>
      <c r="G69" s="203"/>
      <c r="H69" s="203"/>
      <c r="I69" s="198"/>
    </row>
    <row r="70" spans="1:9">
      <c r="A70" s="25"/>
      <c r="I70" s="204"/>
    </row>
    <row r="71" spans="1:9">
      <c r="A71" s="25"/>
      <c r="I71" s="204"/>
    </row>
    <row r="72" spans="1:9">
      <c r="I72" s="204"/>
    </row>
    <row r="73" spans="1:9">
      <c r="I73" s="204"/>
    </row>
    <row r="74" spans="1:9">
      <c r="I74" s="204"/>
    </row>
    <row r="75" spans="1:9">
      <c r="I75" s="204"/>
    </row>
    <row r="76" spans="1:9">
      <c r="I76" s="204"/>
    </row>
    <row r="77" spans="1:9">
      <c r="I77" s="204"/>
    </row>
    <row r="78" spans="1:9">
      <c r="I78" s="204"/>
    </row>
    <row r="79" spans="1:9">
      <c r="I79" s="204"/>
    </row>
    <row r="80" spans="1:9">
      <c r="I80" s="20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BD371"/>
  <sheetViews>
    <sheetView workbookViewId="0">
      <selection activeCell="D13" sqref="D13"/>
    </sheetView>
  </sheetViews>
  <sheetFormatPr defaultColWidth="17.85546875" defaultRowHeight="12.75"/>
  <cols>
    <col min="1" max="1" width="8.85546875" style="83" customWidth="1"/>
    <col min="2" max="2" width="14.85546875" style="83" customWidth="1"/>
    <col min="3" max="3" width="43.5703125" style="83" customWidth="1"/>
    <col min="4" max="7" width="17.85546875" style="83" customWidth="1"/>
    <col min="8" max="8" width="17.85546875" style="83"/>
    <col min="9" max="9" width="5.7109375" style="83" customWidth="1"/>
    <col min="10" max="13" width="25.140625" style="83" customWidth="1"/>
    <col min="14" max="16384" width="17.85546875" style="83"/>
  </cols>
  <sheetData>
    <row r="1" spans="1:20" ht="13.5" thickBot="1">
      <c r="A1" s="82" t="s">
        <v>789</v>
      </c>
      <c r="C1" s="223"/>
      <c r="G1" s="84"/>
      <c r="J1" s="85"/>
      <c r="L1" s="85"/>
    </row>
    <row r="2" spans="1:20" ht="13.5" thickBot="1">
      <c r="B2" s="82" t="s">
        <v>33</v>
      </c>
      <c r="C2" s="223"/>
      <c r="G2" s="84"/>
      <c r="I2" s="85"/>
      <c r="K2" s="86"/>
      <c r="L2" s="87"/>
      <c r="M2" s="86"/>
      <c r="S2" s="83" t="str">
        <f>LEFT(S1,2)</f>
        <v/>
      </c>
      <c r="T2" s="83" t="str">
        <f>LEFT(S1,1)</f>
        <v/>
      </c>
    </row>
    <row r="3" spans="1:20" ht="13.5" thickBot="1">
      <c r="A3" s="88" t="s">
        <v>34</v>
      </c>
      <c r="G3" s="84"/>
    </row>
    <row r="4" spans="1:20" ht="13.5" thickBot="1">
      <c r="A4" s="88" t="s">
        <v>34</v>
      </c>
      <c r="C4" s="82" t="s">
        <v>35</v>
      </c>
      <c r="D4" s="224"/>
    </row>
    <row r="5" spans="1:20" ht="13.5" thickBot="1">
      <c r="A5" s="88" t="s">
        <v>34</v>
      </c>
      <c r="G5" s="89" t="s">
        <v>1</v>
      </c>
    </row>
    <row r="6" spans="1:20">
      <c r="A6" s="90"/>
      <c r="B6" s="236" t="s">
        <v>38</v>
      </c>
      <c r="C6" s="237"/>
      <c r="D6" s="240" t="s">
        <v>36</v>
      </c>
      <c r="E6" s="241"/>
      <c r="F6" s="240" t="s">
        <v>37</v>
      </c>
      <c r="G6" s="241"/>
    </row>
    <row r="7" spans="1:20" ht="13.5" thickBot="1">
      <c r="A7" s="91" t="s">
        <v>13</v>
      </c>
      <c r="B7" s="238"/>
      <c r="C7" s="239"/>
      <c r="D7" s="92" t="s">
        <v>39</v>
      </c>
      <c r="E7" s="92" t="s">
        <v>40</v>
      </c>
      <c r="F7" s="93" t="s">
        <v>41</v>
      </c>
      <c r="G7" s="93" t="s">
        <v>42</v>
      </c>
    </row>
    <row r="8" spans="1:20" ht="30">
      <c r="A8" s="94"/>
      <c r="B8" s="95" t="s">
        <v>43</v>
      </c>
      <c r="C8" s="96" t="s">
        <v>44</v>
      </c>
      <c r="D8" s="97"/>
      <c r="E8" s="97"/>
      <c r="F8" s="97" t="str">
        <f t="shared" ref="F8:F20" si="0">IF(D8-E8&gt;0,(D8-E8),"")</f>
        <v/>
      </c>
      <c r="G8" s="97" t="str">
        <f t="shared" ref="G8:G20" si="1">IF(D8-E8&lt;0,(D8-E8),"")</f>
        <v/>
      </c>
    </row>
    <row r="9" spans="1:20" ht="15.75">
      <c r="A9" s="98"/>
      <c r="B9" s="99" t="s">
        <v>45</v>
      </c>
      <c r="C9" s="100" t="s">
        <v>46</v>
      </c>
      <c r="D9" s="101"/>
      <c r="E9" s="101"/>
      <c r="F9" s="101" t="str">
        <f t="shared" si="0"/>
        <v/>
      </c>
      <c r="G9" s="101" t="str">
        <f t="shared" si="1"/>
        <v/>
      </c>
      <c r="P9" s="102"/>
      <c r="Q9" s="102"/>
      <c r="R9" s="102"/>
    </row>
    <row r="10" spans="1:20" ht="31.5">
      <c r="A10" s="98"/>
      <c r="B10" s="99" t="s">
        <v>47</v>
      </c>
      <c r="C10" s="103" t="s">
        <v>48</v>
      </c>
      <c r="D10" s="101"/>
      <c r="E10" s="101"/>
      <c r="F10" s="101" t="str">
        <f t="shared" si="0"/>
        <v/>
      </c>
      <c r="G10" s="101" t="str">
        <f t="shared" si="1"/>
        <v/>
      </c>
      <c r="P10" s="102"/>
      <c r="Q10" s="102"/>
      <c r="R10" s="102"/>
    </row>
    <row r="11" spans="1:20" ht="15.75">
      <c r="A11" s="98"/>
      <c r="B11" s="99" t="s">
        <v>49</v>
      </c>
      <c r="C11" s="100" t="s">
        <v>50</v>
      </c>
      <c r="D11" s="101"/>
      <c r="E11" s="101"/>
      <c r="F11" s="101" t="str">
        <f t="shared" si="0"/>
        <v/>
      </c>
      <c r="G11" s="101" t="str">
        <f t="shared" si="1"/>
        <v/>
      </c>
      <c r="P11" s="102"/>
      <c r="Q11" s="102"/>
      <c r="R11" s="102"/>
    </row>
    <row r="12" spans="1:20" ht="15.75">
      <c r="A12" s="98"/>
      <c r="B12" s="99" t="s">
        <v>51</v>
      </c>
      <c r="C12" s="100" t="s">
        <v>52</v>
      </c>
      <c r="D12" s="101"/>
      <c r="E12" s="101"/>
      <c r="F12" s="101" t="str">
        <f t="shared" si="0"/>
        <v/>
      </c>
      <c r="G12" s="101" t="str">
        <f t="shared" si="1"/>
        <v/>
      </c>
      <c r="P12" s="102"/>
      <c r="Q12" s="102"/>
      <c r="R12" s="102"/>
    </row>
    <row r="13" spans="1:20" ht="15.75">
      <c r="A13" s="98"/>
      <c r="B13" s="99" t="s">
        <v>53</v>
      </c>
      <c r="C13" s="100" t="s">
        <v>54</v>
      </c>
      <c r="D13" s="101"/>
      <c r="E13" s="101"/>
      <c r="F13" s="101" t="str">
        <f t="shared" si="0"/>
        <v/>
      </c>
      <c r="G13" s="101" t="str">
        <f t="shared" si="1"/>
        <v/>
      </c>
      <c r="P13" s="102"/>
      <c r="Q13" s="102"/>
      <c r="R13" s="102"/>
    </row>
    <row r="14" spans="1:20" ht="15.75">
      <c r="A14" s="98"/>
      <c r="B14" s="99" t="s">
        <v>55</v>
      </c>
      <c r="C14" s="100" t="s">
        <v>56</v>
      </c>
      <c r="D14" s="101"/>
      <c r="E14" s="101"/>
      <c r="F14" s="101" t="str">
        <f t="shared" si="0"/>
        <v/>
      </c>
      <c r="G14" s="101" t="str">
        <f t="shared" si="1"/>
        <v/>
      </c>
      <c r="Q14" s="83" t="s">
        <v>1090</v>
      </c>
    </row>
    <row r="15" spans="1:20" ht="31.5">
      <c r="A15" s="98"/>
      <c r="B15" s="99" t="s">
        <v>57</v>
      </c>
      <c r="C15" s="103" t="s">
        <v>58</v>
      </c>
      <c r="D15" s="101"/>
      <c r="E15" s="101"/>
      <c r="F15" s="101" t="str">
        <f t="shared" si="0"/>
        <v/>
      </c>
      <c r="G15" s="101" t="str">
        <f t="shared" si="1"/>
        <v/>
      </c>
      <c r="Q15" s="104" t="s">
        <v>1091</v>
      </c>
    </row>
    <row r="16" spans="1:20" ht="15.75">
      <c r="A16" s="105"/>
      <c r="B16" s="99" t="s">
        <v>59</v>
      </c>
      <c r="C16" s="100" t="s">
        <v>60</v>
      </c>
      <c r="D16" s="101"/>
      <c r="E16" s="101"/>
      <c r="F16" s="101" t="str">
        <f t="shared" si="0"/>
        <v/>
      </c>
      <c r="G16" s="101" t="str">
        <f t="shared" si="1"/>
        <v/>
      </c>
    </row>
    <row r="17" spans="1:56" ht="16.5" thickBot="1">
      <c r="A17" s="106"/>
      <c r="B17" s="107" t="s">
        <v>61</v>
      </c>
      <c r="C17" s="108" t="s">
        <v>62</v>
      </c>
      <c r="D17" s="109"/>
      <c r="E17" s="109"/>
      <c r="F17" s="109" t="str">
        <f t="shared" si="0"/>
        <v/>
      </c>
      <c r="G17" s="109" t="str">
        <f t="shared" si="1"/>
        <v/>
      </c>
    </row>
    <row r="18" spans="1:56">
      <c r="A18" s="110"/>
      <c r="B18" s="110"/>
      <c r="C18" s="110"/>
      <c r="D18" s="111"/>
      <c r="E18" s="111"/>
      <c r="F18" s="111"/>
      <c r="G18" s="111"/>
      <c r="P18" s="83" t="s">
        <v>1090</v>
      </c>
      <c r="Q18" s="83" t="s">
        <v>1090</v>
      </c>
    </row>
    <row r="19" spans="1:56">
      <c r="A19" s="98" t="str">
        <f>MID(P19,4,3)</f>
        <v/>
      </c>
      <c r="B19" s="112"/>
      <c r="C19" s="113"/>
      <c r="D19" s="98"/>
      <c r="E19" s="98"/>
      <c r="F19" s="101" t="str">
        <f t="shared" si="0"/>
        <v/>
      </c>
      <c r="G19" s="101" t="str">
        <f t="shared" si="1"/>
        <v/>
      </c>
      <c r="P19" s="102"/>
      <c r="Q19" s="234" t="s">
        <v>203</v>
      </c>
      <c r="R19" s="234" t="s">
        <v>768</v>
      </c>
    </row>
    <row r="20" spans="1:56" ht="13.5" thickBot="1">
      <c r="A20" s="98" t="str">
        <f>MID(P20,4,3)</f>
        <v/>
      </c>
      <c r="B20" s="112"/>
      <c r="C20" s="113"/>
      <c r="D20" s="98"/>
      <c r="E20" s="98"/>
      <c r="F20" s="98" t="str">
        <f t="shared" si="0"/>
        <v/>
      </c>
      <c r="G20" s="98" t="str">
        <f t="shared" si="1"/>
        <v/>
      </c>
      <c r="P20" s="102"/>
      <c r="Q20" s="234" t="s">
        <v>766</v>
      </c>
      <c r="R20" s="234" t="s">
        <v>767</v>
      </c>
    </row>
    <row r="21" spans="1:56" ht="13.5" thickBot="1">
      <c r="A21" s="118"/>
      <c r="B21" s="119"/>
      <c r="C21" s="119"/>
      <c r="D21" s="119"/>
      <c r="E21" s="119"/>
      <c r="F21" s="119"/>
      <c r="G21" s="120"/>
      <c r="P21" s="102"/>
      <c r="Q21" s="234" t="s">
        <v>769</v>
      </c>
      <c r="R21" s="234" t="s">
        <v>1092</v>
      </c>
    </row>
    <row r="22" spans="1:56" ht="13.5" thickBot="1">
      <c r="A22" s="110"/>
      <c r="B22" s="110"/>
      <c r="C22" s="110"/>
      <c r="D22" s="114">
        <f>SUM(D19:D21)</f>
        <v>0</v>
      </c>
      <c r="E22" s="114">
        <f>SUM(E19:E21)</f>
        <v>0</v>
      </c>
      <c r="F22" s="114">
        <f>SUM(F19:F21)</f>
        <v>0</v>
      </c>
      <c r="G22" s="114">
        <f>SUM(G19:G21)</f>
        <v>0</v>
      </c>
      <c r="P22" s="102"/>
      <c r="Q22" s="234" t="s">
        <v>1093</v>
      </c>
      <c r="R22" s="234" t="s">
        <v>1094</v>
      </c>
    </row>
    <row r="23" spans="1:56">
      <c r="A23" s="110"/>
      <c r="B23" s="110"/>
      <c r="C23" s="110"/>
      <c r="P23" s="102"/>
      <c r="Q23" s="234" t="s">
        <v>773</v>
      </c>
      <c r="R23" s="234" t="s">
        <v>1095</v>
      </c>
    </row>
    <row r="24" spans="1:56">
      <c r="A24" s="110"/>
      <c r="B24" s="110"/>
      <c r="C24" s="110"/>
      <c r="D24" s="110"/>
      <c r="E24" s="110"/>
      <c r="F24" s="110"/>
      <c r="G24" s="110"/>
      <c r="P24" s="102"/>
      <c r="Q24" s="234" t="s">
        <v>775</v>
      </c>
      <c r="R24" s="234" t="s">
        <v>1096</v>
      </c>
    </row>
    <row r="25" spans="1:56" ht="15">
      <c r="A25" s="110"/>
      <c r="B25" s="110"/>
      <c r="C25" s="110"/>
      <c r="D25" s="110"/>
      <c r="E25" s="110"/>
      <c r="F25" s="110"/>
      <c r="G25" s="110"/>
      <c r="P25" s="102"/>
      <c r="Q25" s="234" t="s">
        <v>777</v>
      </c>
      <c r="R25" s="234" t="s">
        <v>1097</v>
      </c>
      <c r="BB25" s="92" t="s">
        <v>13</v>
      </c>
      <c r="BC25"/>
      <c r="BD25"/>
    </row>
    <row r="26" spans="1:56" ht="15">
      <c r="A26" s="110"/>
      <c r="B26" s="110"/>
      <c r="C26" s="110"/>
      <c r="D26" s="110"/>
      <c r="E26" s="110"/>
      <c r="F26" s="110"/>
      <c r="G26" s="110"/>
      <c r="P26" s="102"/>
      <c r="Q26" s="234" t="s">
        <v>779</v>
      </c>
      <c r="R26" s="234" t="s">
        <v>1098</v>
      </c>
      <c r="BB26" s="115"/>
      <c r="BC26">
        <f>SUM(BC29:BC9995)</f>
        <v>0</v>
      </c>
      <c r="BD26">
        <f>SUM(BD29:BD9995)</f>
        <v>0</v>
      </c>
    </row>
    <row r="27" spans="1:56" ht="15">
      <c r="A27" s="110"/>
      <c r="B27" s="110"/>
      <c r="C27" s="110"/>
      <c r="D27" s="110"/>
      <c r="E27" s="110"/>
      <c r="F27" s="110"/>
      <c r="G27" s="110"/>
      <c r="P27" s="102"/>
      <c r="Q27" s="234" t="s">
        <v>781</v>
      </c>
      <c r="R27" s="234" t="s">
        <v>1099</v>
      </c>
      <c r="BB27"/>
      <c r="BC27"/>
      <c r="BD27"/>
    </row>
    <row r="28" spans="1:56">
      <c r="A28" s="110"/>
      <c r="B28" s="110"/>
      <c r="C28" s="110"/>
      <c r="D28" s="110"/>
      <c r="E28" s="110"/>
      <c r="F28" s="110"/>
      <c r="G28" s="110"/>
      <c r="P28" s="102"/>
      <c r="Q28" s="234" t="s">
        <v>783</v>
      </c>
      <c r="R28" s="234" t="s">
        <v>1100</v>
      </c>
      <c r="BB28" s="92" t="s">
        <v>13</v>
      </c>
      <c r="BC28" s="92" t="s">
        <v>39</v>
      </c>
      <c r="BD28" s="92" t="s">
        <v>40</v>
      </c>
    </row>
    <row r="29" spans="1:56" ht="15">
      <c r="A29" s="110"/>
      <c r="B29" s="110"/>
      <c r="C29" s="110"/>
      <c r="D29" s="110"/>
      <c r="E29" s="110"/>
      <c r="F29" s="110"/>
      <c r="G29" s="110"/>
      <c r="P29" s="102"/>
      <c r="Q29" s="234" t="s">
        <v>1101</v>
      </c>
      <c r="R29" s="234" t="s">
        <v>1102</v>
      </c>
      <c r="BB29" s="115"/>
      <c r="BC29"/>
      <c r="BD29"/>
    </row>
    <row r="30" spans="1:56" ht="15">
      <c r="A30" s="110"/>
      <c r="B30" s="110"/>
      <c r="C30" s="110"/>
      <c r="P30" s="102"/>
      <c r="Q30" s="234" t="s">
        <v>787</v>
      </c>
      <c r="R30" s="234" t="s">
        <v>1103</v>
      </c>
      <c r="BB30"/>
      <c r="BC30"/>
      <c r="BD30"/>
    </row>
    <row r="31" spans="1:56" ht="15">
      <c r="A31" s="110"/>
      <c r="B31" s="110"/>
      <c r="C31" s="110"/>
      <c r="D31" s="110"/>
      <c r="E31" s="110"/>
      <c r="F31" s="110"/>
      <c r="G31" s="110"/>
      <c r="P31" s="102"/>
      <c r="Q31" s="102"/>
      <c r="R31" s="102"/>
      <c r="BB31"/>
      <c r="BC31"/>
      <c r="BD31"/>
    </row>
    <row r="32" spans="1:56" ht="15">
      <c r="A32" s="110"/>
      <c r="B32" s="110"/>
      <c r="C32" s="110"/>
      <c r="D32" s="110"/>
      <c r="E32" s="110"/>
      <c r="F32" s="110"/>
      <c r="G32" s="110"/>
      <c r="P32" s="102"/>
      <c r="Q32" s="102"/>
      <c r="R32" s="102"/>
      <c r="BB32"/>
      <c r="BC32"/>
      <c r="BD32"/>
    </row>
    <row r="33" spans="1:56" ht="15">
      <c r="A33" s="110"/>
      <c r="B33" s="110"/>
      <c r="C33" s="110"/>
      <c r="D33" s="110"/>
      <c r="E33" s="110"/>
      <c r="F33" s="110"/>
      <c r="G33" s="110"/>
      <c r="P33" s="102"/>
      <c r="Q33" s="102"/>
      <c r="R33" s="102"/>
      <c r="BB33"/>
      <c r="BC33"/>
      <c r="BD33"/>
    </row>
    <row r="34" spans="1:56">
      <c r="A34" s="110"/>
      <c r="B34" s="110"/>
      <c r="C34" s="110"/>
      <c r="D34" s="110"/>
      <c r="E34" s="110"/>
      <c r="F34" s="110"/>
      <c r="G34" s="110"/>
      <c r="P34" s="102"/>
      <c r="Q34" s="102"/>
      <c r="R34" s="102"/>
    </row>
    <row r="35" spans="1:56">
      <c r="A35" s="110"/>
      <c r="B35" s="110"/>
      <c r="C35" s="110"/>
      <c r="D35" s="110"/>
      <c r="E35" s="110"/>
      <c r="F35" s="110"/>
      <c r="G35" s="110"/>
      <c r="P35" s="102"/>
      <c r="Q35" s="102"/>
      <c r="R35" s="102"/>
    </row>
    <row r="36" spans="1:56">
      <c r="A36" s="110"/>
      <c r="B36" s="110"/>
      <c r="C36" s="110"/>
      <c r="D36" s="110"/>
      <c r="E36" s="110"/>
      <c r="F36" s="110"/>
      <c r="G36" s="110"/>
      <c r="P36" s="102"/>
      <c r="Q36" s="102"/>
      <c r="R36" s="102"/>
    </row>
    <row r="37" spans="1:56">
      <c r="A37" s="110"/>
      <c r="B37" s="110"/>
      <c r="C37" s="110"/>
      <c r="D37" s="110"/>
      <c r="E37" s="110"/>
      <c r="F37" s="110"/>
      <c r="G37" s="110"/>
      <c r="P37" s="102"/>
      <c r="Q37" s="102"/>
      <c r="R37" s="102"/>
    </row>
    <row r="38" spans="1:56">
      <c r="A38" s="110"/>
      <c r="B38" s="110"/>
      <c r="C38" s="110"/>
      <c r="D38" s="110"/>
      <c r="E38" s="110"/>
      <c r="F38" s="110"/>
      <c r="G38" s="110"/>
      <c r="P38" s="102"/>
      <c r="Q38" s="102"/>
      <c r="R38" s="102"/>
    </row>
    <row r="39" spans="1:56">
      <c r="A39" s="110"/>
      <c r="B39" s="110"/>
      <c r="C39" s="110"/>
      <c r="D39" s="110"/>
      <c r="E39" s="110"/>
      <c r="F39" s="110"/>
      <c r="G39" s="110"/>
      <c r="P39" s="102"/>
      <c r="Q39" s="102"/>
      <c r="R39" s="102"/>
    </row>
    <row r="40" spans="1:56">
      <c r="A40" s="110"/>
      <c r="B40" s="110"/>
      <c r="C40" s="110"/>
      <c r="D40" s="110"/>
      <c r="E40" s="110"/>
      <c r="F40" s="110"/>
      <c r="G40" s="110"/>
      <c r="P40" s="102"/>
      <c r="Q40" s="102"/>
      <c r="R40" s="102"/>
    </row>
    <row r="41" spans="1:56">
      <c r="A41" s="110"/>
      <c r="B41" s="110"/>
      <c r="C41" s="110"/>
      <c r="D41" s="110"/>
      <c r="E41" s="110"/>
      <c r="F41" s="110"/>
      <c r="G41" s="110"/>
      <c r="P41" s="102"/>
      <c r="Q41" s="102"/>
      <c r="R41" s="102"/>
    </row>
    <row r="42" spans="1:56">
      <c r="A42" s="110"/>
      <c r="B42" s="110"/>
      <c r="C42" s="110"/>
      <c r="D42" s="110"/>
      <c r="E42" s="110"/>
      <c r="F42" s="110"/>
      <c r="G42" s="110"/>
      <c r="P42" s="102"/>
      <c r="Q42" s="102"/>
      <c r="R42" s="102"/>
    </row>
    <row r="43" spans="1:56">
      <c r="A43" s="110"/>
      <c r="B43" s="110"/>
      <c r="C43" s="110"/>
      <c r="D43" s="110"/>
      <c r="E43" s="110"/>
      <c r="F43" s="110"/>
      <c r="G43" s="110"/>
      <c r="P43" s="102"/>
      <c r="Q43" s="102"/>
      <c r="R43" s="102"/>
    </row>
    <row r="44" spans="1:56">
      <c r="A44" s="110"/>
      <c r="B44" s="110"/>
      <c r="C44" s="110"/>
      <c r="D44" s="110"/>
      <c r="E44" s="110"/>
      <c r="F44" s="110"/>
      <c r="G44" s="110"/>
      <c r="P44" s="102"/>
      <c r="Q44" s="102"/>
      <c r="R44" s="102"/>
    </row>
    <row r="45" spans="1:56">
      <c r="A45" s="110"/>
      <c r="B45" s="110"/>
      <c r="C45" s="110"/>
      <c r="D45" s="110"/>
      <c r="E45" s="110"/>
      <c r="F45" s="110"/>
      <c r="G45" s="110"/>
      <c r="P45" s="102"/>
      <c r="Q45" s="102"/>
      <c r="R45" s="102"/>
    </row>
    <row r="46" spans="1:56">
      <c r="A46" s="110"/>
      <c r="B46" s="110"/>
      <c r="C46" s="110"/>
      <c r="D46" s="110"/>
      <c r="E46" s="110"/>
      <c r="F46" s="110"/>
      <c r="G46" s="110"/>
      <c r="P46" s="102"/>
      <c r="Q46" s="102"/>
      <c r="R46" s="102"/>
    </row>
    <row r="47" spans="1:56">
      <c r="A47" s="110"/>
      <c r="B47" s="110"/>
      <c r="C47" s="110"/>
      <c r="D47" s="110"/>
      <c r="E47" s="110"/>
      <c r="F47" s="110"/>
      <c r="G47" s="110"/>
      <c r="P47" s="102"/>
      <c r="Q47" s="102"/>
      <c r="R47" s="102"/>
    </row>
    <row r="48" spans="1:56">
      <c r="A48" s="110"/>
      <c r="B48" s="110"/>
      <c r="C48" s="110"/>
      <c r="D48" s="110"/>
      <c r="E48" s="110"/>
      <c r="F48" s="110"/>
      <c r="G48" s="110"/>
      <c r="P48" s="102"/>
      <c r="Q48" s="102"/>
      <c r="R48" s="102"/>
    </row>
    <row r="49" spans="1:18">
      <c r="A49" s="110"/>
      <c r="B49" s="110"/>
      <c r="C49" s="110"/>
      <c r="D49" s="110"/>
      <c r="E49" s="110"/>
      <c r="F49" s="110"/>
      <c r="G49" s="110"/>
      <c r="P49" s="102"/>
      <c r="Q49" s="102"/>
      <c r="R49" s="102"/>
    </row>
    <row r="50" spans="1:18">
      <c r="A50" s="110"/>
      <c r="B50" s="110"/>
      <c r="C50" s="110"/>
      <c r="D50" s="110"/>
      <c r="E50" s="110"/>
      <c r="F50" s="110"/>
      <c r="G50" s="110"/>
      <c r="P50" s="102"/>
      <c r="Q50" s="102"/>
      <c r="R50" s="102"/>
    </row>
    <row r="51" spans="1:18">
      <c r="A51" s="110"/>
      <c r="B51" s="110"/>
      <c r="C51" s="110"/>
      <c r="D51" s="110"/>
      <c r="E51" s="110"/>
      <c r="F51" s="110"/>
      <c r="G51" s="110"/>
      <c r="P51" s="102"/>
      <c r="Q51" s="102"/>
      <c r="R51" s="102"/>
    </row>
    <row r="52" spans="1:18">
      <c r="A52" s="110"/>
      <c r="B52" s="110"/>
      <c r="C52" s="110"/>
      <c r="D52" s="110"/>
      <c r="E52" s="110"/>
      <c r="F52" s="110"/>
      <c r="G52" s="110"/>
      <c r="P52" s="102"/>
      <c r="Q52" s="102"/>
      <c r="R52" s="102"/>
    </row>
    <row r="53" spans="1:18">
      <c r="A53" s="110"/>
      <c r="B53" s="110"/>
      <c r="C53" s="110"/>
      <c r="D53" s="110"/>
      <c r="E53" s="110"/>
      <c r="F53" s="110"/>
      <c r="G53" s="110"/>
      <c r="P53" s="102"/>
      <c r="Q53" s="102"/>
      <c r="R53" s="102"/>
    </row>
    <row r="54" spans="1:18">
      <c r="A54" s="110"/>
      <c r="B54" s="110"/>
      <c r="C54" s="110"/>
      <c r="D54" s="110"/>
      <c r="E54" s="110"/>
      <c r="F54" s="110"/>
      <c r="G54" s="110"/>
      <c r="P54" s="102"/>
      <c r="Q54" s="102"/>
      <c r="R54" s="102"/>
    </row>
    <row r="55" spans="1:18">
      <c r="A55" s="110"/>
      <c r="B55" s="110"/>
      <c r="C55" s="110"/>
      <c r="D55" s="110"/>
      <c r="E55" s="110"/>
      <c r="F55" s="110"/>
      <c r="G55" s="110"/>
      <c r="P55" s="102"/>
      <c r="Q55" s="102"/>
      <c r="R55" s="102"/>
    </row>
    <row r="56" spans="1:18">
      <c r="A56" s="110"/>
      <c r="B56" s="110"/>
      <c r="C56" s="110"/>
      <c r="D56" s="110"/>
      <c r="E56" s="110"/>
      <c r="F56" s="110"/>
      <c r="G56" s="110"/>
      <c r="P56" s="102"/>
      <c r="Q56" s="102"/>
      <c r="R56" s="102"/>
    </row>
    <row r="57" spans="1:18">
      <c r="A57" s="110"/>
      <c r="B57" s="110"/>
      <c r="C57" s="110"/>
      <c r="D57" s="110"/>
      <c r="E57" s="110"/>
      <c r="F57" s="110"/>
      <c r="G57" s="110"/>
      <c r="P57" s="102"/>
      <c r="Q57" s="102"/>
      <c r="R57" s="102"/>
    </row>
    <row r="58" spans="1:18">
      <c r="A58" s="110"/>
      <c r="B58" s="110"/>
      <c r="C58" s="110"/>
      <c r="D58" s="110"/>
      <c r="E58" s="110"/>
      <c r="F58" s="110"/>
      <c r="G58" s="110"/>
      <c r="P58" s="102"/>
      <c r="Q58" s="102"/>
      <c r="R58" s="102"/>
    </row>
    <row r="59" spans="1:18">
      <c r="A59" s="110"/>
      <c r="B59" s="110"/>
      <c r="C59" s="110"/>
      <c r="D59" s="110"/>
      <c r="E59" s="110"/>
      <c r="F59" s="110"/>
      <c r="G59" s="110"/>
      <c r="P59" s="102"/>
      <c r="Q59" s="102"/>
      <c r="R59" s="102"/>
    </row>
    <row r="60" spans="1:18">
      <c r="A60" s="110"/>
      <c r="B60" s="110"/>
      <c r="C60" s="110"/>
      <c r="D60" s="110"/>
      <c r="E60" s="110"/>
      <c r="F60" s="110"/>
      <c r="G60" s="110"/>
      <c r="P60" s="102"/>
      <c r="Q60" s="102"/>
      <c r="R60" s="102"/>
    </row>
    <row r="61" spans="1:18">
      <c r="A61" s="110"/>
      <c r="B61" s="110"/>
      <c r="C61" s="110"/>
      <c r="D61" s="110"/>
      <c r="E61" s="110"/>
      <c r="F61" s="110"/>
      <c r="G61" s="110"/>
      <c r="P61" s="102"/>
      <c r="Q61" s="102"/>
      <c r="R61" s="102"/>
    </row>
    <row r="62" spans="1:18">
      <c r="A62" s="110"/>
      <c r="B62" s="110"/>
      <c r="C62" s="110"/>
      <c r="D62" s="110"/>
      <c r="E62" s="110"/>
      <c r="F62" s="110"/>
      <c r="G62" s="110"/>
      <c r="P62" s="102"/>
      <c r="Q62" s="102"/>
      <c r="R62" s="102"/>
    </row>
    <row r="63" spans="1:18">
      <c r="A63" s="110"/>
      <c r="B63" s="110"/>
      <c r="C63" s="110"/>
      <c r="D63" s="110"/>
      <c r="E63" s="110"/>
      <c r="F63" s="110"/>
      <c r="G63" s="110"/>
      <c r="P63" s="102"/>
      <c r="Q63" s="102"/>
      <c r="R63" s="102"/>
    </row>
    <row r="64" spans="1:18">
      <c r="A64" s="110"/>
      <c r="B64" s="110"/>
      <c r="C64" s="110"/>
      <c r="D64" s="110"/>
      <c r="E64" s="110"/>
      <c r="F64" s="110"/>
      <c r="G64" s="110"/>
      <c r="P64" s="102"/>
      <c r="Q64" s="102"/>
      <c r="R64" s="102"/>
    </row>
    <row r="65" spans="1:18">
      <c r="A65" s="110"/>
      <c r="B65" s="110"/>
      <c r="C65" s="110"/>
      <c r="D65" s="110"/>
      <c r="E65" s="110"/>
      <c r="F65" s="110"/>
      <c r="G65" s="110"/>
      <c r="P65" s="102"/>
      <c r="Q65" s="102"/>
      <c r="R65" s="102"/>
    </row>
    <row r="66" spans="1:18">
      <c r="A66" s="110"/>
      <c r="B66" s="110"/>
      <c r="C66" s="110"/>
      <c r="D66" s="110"/>
      <c r="E66" s="110"/>
      <c r="F66" s="110"/>
      <c r="G66" s="110"/>
      <c r="P66" s="102"/>
      <c r="Q66" s="102"/>
      <c r="R66" s="102"/>
    </row>
    <row r="67" spans="1:18">
      <c r="A67" s="110"/>
      <c r="B67" s="110"/>
      <c r="C67" s="110"/>
      <c r="D67" s="110"/>
      <c r="E67" s="110"/>
      <c r="F67" s="110"/>
      <c r="G67" s="110"/>
      <c r="P67" s="102"/>
      <c r="Q67" s="102"/>
      <c r="R67" s="102"/>
    </row>
    <row r="68" spans="1:18">
      <c r="A68" s="110"/>
      <c r="B68" s="110"/>
      <c r="C68" s="110"/>
      <c r="D68" s="110"/>
      <c r="E68" s="110"/>
      <c r="F68" s="110"/>
      <c r="G68" s="110"/>
      <c r="P68" s="102"/>
      <c r="Q68" s="102"/>
      <c r="R68" s="102"/>
    </row>
    <row r="69" spans="1:18">
      <c r="A69" s="110"/>
      <c r="B69" s="110"/>
      <c r="C69" s="110"/>
      <c r="D69" s="110"/>
      <c r="E69" s="110"/>
      <c r="F69" s="110"/>
      <c r="G69" s="110"/>
      <c r="P69" s="102"/>
      <c r="Q69" s="102"/>
      <c r="R69" s="102"/>
    </row>
    <row r="70" spans="1:18">
      <c r="A70" s="110"/>
      <c r="B70" s="110"/>
      <c r="C70" s="110"/>
      <c r="D70" s="110"/>
      <c r="E70" s="110"/>
      <c r="F70" s="110"/>
      <c r="G70" s="110"/>
      <c r="P70" s="102"/>
      <c r="Q70" s="102"/>
      <c r="R70" s="102"/>
    </row>
    <row r="71" spans="1:18">
      <c r="A71" s="110"/>
      <c r="B71" s="110"/>
      <c r="C71" s="110"/>
      <c r="D71" s="110"/>
      <c r="E71" s="110"/>
      <c r="F71" s="110"/>
      <c r="G71" s="110"/>
      <c r="P71" s="102"/>
      <c r="Q71" s="102"/>
      <c r="R71" s="102"/>
    </row>
    <row r="72" spans="1:18">
      <c r="A72" s="110"/>
      <c r="B72" s="110"/>
      <c r="C72" s="110"/>
      <c r="D72" s="110"/>
      <c r="E72" s="110"/>
      <c r="F72" s="110"/>
      <c r="G72" s="110"/>
      <c r="P72" s="102"/>
      <c r="Q72" s="102"/>
      <c r="R72" s="102"/>
    </row>
    <row r="73" spans="1:18">
      <c r="A73" s="110"/>
      <c r="B73" s="110"/>
      <c r="C73" s="110"/>
      <c r="D73" s="110"/>
      <c r="E73" s="110"/>
      <c r="F73" s="110"/>
      <c r="G73" s="110"/>
      <c r="P73" s="102"/>
      <c r="Q73" s="102"/>
      <c r="R73" s="102"/>
    </row>
    <row r="74" spans="1:18">
      <c r="A74" s="110"/>
      <c r="B74" s="110"/>
      <c r="C74" s="110"/>
      <c r="D74" s="110"/>
      <c r="E74" s="110"/>
      <c r="F74" s="110"/>
      <c r="G74" s="110"/>
      <c r="P74" s="102"/>
      <c r="Q74" s="102"/>
      <c r="R74" s="102"/>
    </row>
    <row r="75" spans="1:18">
      <c r="A75" s="110"/>
      <c r="B75" s="110"/>
      <c r="C75" s="110"/>
      <c r="D75" s="110"/>
      <c r="E75" s="110"/>
      <c r="F75" s="110"/>
      <c r="G75" s="110"/>
      <c r="P75" s="102"/>
      <c r="Q75" s="102"/>
      <c r="R75" s="102"/>
    </row>
    <row r="76" spans="1:18">
      <c r="A76" s="110"/>
      <c r="B76" s="110"/>
      <c r="C76" s="110"/>
      <c r="D76" s="110"/>
      <c r="E76" s="110"/>
      <c r="F76" s="110"/>
      <c r="G76" s="110"/>
      <c r="P76" s="102"/>
      <c r="Q76" s="102"/>
      <c r="R76" s="102"/>
    </row>
    <row r="77" spans="1:18">
      <c r="A77" s="110"/>
      <c r="B77" s="110"/>
      <c r="C77" s="110"/>
      <c r="D77" s="110"/>
      <c r="E77" s="110"/>
      <c r="F77" s="110"/>
      <c r="G77" s="110"/>
      <c r="P77" s="102"/>
      <c r="Q77" s="102"/>
      <c r="R77" s="102"/>
    </row>
    <row r="78" spans="1:18">
      <c r="A78" s="110"/>
      <c r="B78" s="110"/>
      <c r="C78" s="110"/>
      <c r="D78" s="110"/>
      <c r="E78" s="110"/>
      <c r="F78" s="110"/>
      <c r="G78" s="110"/>
      <c r="P78" s="102"/>
      <c r="Q78" s="102"/>
      <c r="R78" s="102"/>
    </row>
    <row r="79" spans="1:18">
      <c r="A79" s="110"/>
      <c r="B79" s="110"/>
      <c r="C79" s="110"/>
      <c r="D79" s="110"/>
      <c r="E79" s="110"/>
      <c r="F79" s="110"/>
      <c r="G79" s="110"/>
      <c r="P79" s="102"/>
      <c r="Q79" s="102"/>
      <c r="R79" s="102"/>
    </row>
    <row r="80" spans="1:18">
      <c r="A80" s="110"/>
      <c r="B80" s="110"/>
      <c r="C80" s="110"/>
      <c r="D80" s="110"/>
      <c r="E80" s="110"/>
      <c r="F80" s="110"/>
      <c r="G80" s="110"/>
      <c r="P80" s="102"/>
      <c r="Q80" s="102"/>
      <c r="R80" s="102"/>
    </row>
    <row r="81" spans="1:18">
      <c r="A81" s="110"/>
      <c r="B81" s="110"/>
      <c r="C81" s="110"/>
      <c r="D81" s="110"/>
      <c r="E81" s="110"/>
      <c r="F81" s="110"/>
      <c r="G81" s="110"/>
      <c r="P81" s="102"/>
      <c r="Q81" s="102"/>
      <c r="R81" s="102"/>
    </row>
    <row r="82" spans="1:18">
      <c r="A82" s="110"/>
      <c r="B82" s="110"/>
      <c r="C82" s="110"/>
      <c r="D82" s="110"/>
      <c r="E82" s="110"/>
      <c r="F82" s="110"/>
      <c r="G82" s="110"/>
      <c r="P82" s="102"/>
      <c r="Q82" s="102"/>
      <c r="R82" s="102"/>
    </row>
    <row r="83" spans="1:18">
      <c r="A83" s="110"/>
      <c r="B83" s="110"/>
      <c r="C83" s="110"/>
      <c r="D83" s="110"/>
      <c r="E83" s="110"/>
      <c r="F83" s="110"/>
      <c r="G83" s="110"/>
      <c r="P83" s="102"/>
      <c r="Q83" s="102"/>
      <c r="R83" s="102"/>
    </row>
    <row r="84" spans="1:18">
      <c r="A84" s="110"/>
      <c r="B84" s="110"/>
      <c r="C84" s="110"/>
      <c r="D84" s="110"/>
      <c r="E84" s="110"/>
      <c r="F84" s="110"/>
      <c r="G84" s="110"/>
      <c r="P84" s="102"/>
      <c r="Q84" s="102"/>
      <c r="R84" s="102"/>
    </row>
    <row r="85" spans="1:18">
      <c r="A85" s="110"/>
      <c r="B85" s="110"/>
      <c r="C85" s="110"/>
      <c r="D85" s="110"/>
      <c r="E85" s="110"/>
      <c r="F85" s="110"/>
      <c r="G85" s="110"/>
      <c r="P85" s="102"/>
      <c r="Q85" s="102"/>
      <c r="R85" s="102"/>
    </row>
    <row r="86" spans="1:18">
      <c r="A86" s="110"/>
      <c r="B86" s="110"/>
      <c r="C86" s="110"/>
      <c r="D86" s="110"/>
      <c r="E86" s="110"/>
      <c r="F86" s="110"/>
      <c r="G86" s="110"/>
      <c r="P86" s="102"/>
      <c r="Q86" s="102"/>
      <c r="R86" s="102"/>
    </row>
    <row r="87" spans="1:18">
      <c r="A87" s="110"/>
      <c r="B87" s="110"/>
      <c r="C87" s="110"/>
      <c r="D87" s="110"/>
      <c r="E87" s="110"/>
      <c r="F87" s="110"/>
      <c r="G87" s="110"/>
      <c r="P87" s="102"/>
      <c r="Q87" s="102"/>
      <c r="R87" s="102"/>
    </row>
    <row r="88" spans="1:18">
      <c r="A88" s="110"/>
      <c r="B88" s="110"/>
      <c r="C88" s="110"/>
      <c r="D88" s="110"/>
      <c r="E88" s="110"/>
      <c r="F88" s="110"/>
      <c r="G88" s="110"/>
      <c r="P88" s="102"/>
      <c r="Q88" s="102"/>
      <c r="R88" s="102"/>
    </row>
    <row r="89" spans="1:18">
      <c r="A89" s="110"/>
      <c r="B89" s="110"/>
      <c r="C89" s="110"/>
      <c r="D89" s="110"/>
      <c r="E89" s="110"/>
      <c r="F89" s="110"/>
      <c r="G89" s="110"/>
      <c r="P89" s="102"/>
      <c r="Q89" s="102"/>
      <c r="R89" s="102"/>
    </row>
    <row r="90" spans="1:18">
      <c r="A90" s="110"/>
      <c r="B90" s="110"/>
      <c r="C90" s="110"/>
      <c r="D90" s="110"/>
      <c r="E90" s="110"/>
      <c r="F90" s="110"/>
      <c r="G90" s="110"/>
      <c r="P90" s="102"/>
      <c r="Q90" s="102"/>
      <c r="R90" s="102"/>
    </row>
    <row r="91" spans="1:18">
      <c r="A91" s="110"/>
      <c r="B91" s="110"/>
      <c r="C91" s="110"/>
      <c r="D91" s="110"/>
      <c r="E91" s="110"/>
      <c r="F91" s="110"/>
      <c r="G91" s="110"/>
      <c r="P91" s="102"/>
      <c r="Q91" s="102"/>
      <c r="R91" s="102"/>
    </row>
    <row r="92" spans="1:18">
      <c r="A92" s="110"/>
      <c r="B92" s="110"/>
      <c r="C92" s="110"/>
      <c r="D92" s="110"/>
      <c r="E92" s="110"/>
      <c r="F92" s="110"/>
      <c r="G92" s="110"/>
      <c r="P92" s="102"/>
      <c r="Q92" s="102"/>
      <c r="R92" s="102"/>
    </row>
    <row r="93" spans="1:18">
      <c r="A93" s="110"/>
      <c r="B93" s="110"/>
      <c r="C93" s="110"/>
      <c r="D93" s="110"/>
      <c r="E93" s="110"/>
      <c r="F93" s="110"/>
      <c r="G93" s="110"/>
      <c r="P93" s="102"/>
      <c r="Q93" s="102"/>
      <c r="R93" s="102"/>
    </row>
    <row r="94" spans="1:18">
      <c r="A94" s="110"/>
      <c r="B94" s="110"/>
      <c r="C94" s="110"/>
      <c r="D94" s="110"/>
      <c r="E94" s="110"/>
      <c r="F94" s="110"/>
      <c r="G94" s="110"/>
      <c r="P94" s="102"/>
      <c r="Q94" s="102"/>
      <c r="R94" s="102"/>
    </row>
    <row r="95" spans="1:18">
      <c r="A95" s="110"/>
      <c r="B95" s="110"/>
      <c r="C95" s="110"/>
      <c r="D95" s="110"/>
      <c r="E95" s="110"/>
      <c r="F95" s="110"/>
      <c r="G95" s="110"/>
      <c r="P95" s="102"/>
      <c r="Q95" s="102"/>
      <c r="R95" s="102"/>
    </row>
    <row r="96" spans="1:18">
      <c r="A96" s="110"/>
      <c r="B96" s="110"/>
      <c r="C96" s="110"/>
      <c r="D96" s="110"/>
      <c r="E96" s="110"/>
      <c r="F96" s="110"/>
      <c r="G96" s="110"/>
      <c r="P96" s="102"/>
      <c r="Q96" s="102"/>
      <c r="R96" s="102"/>
    </row>
    <row r="97" spans="1:18">
      <c r="A97" s="110"/>
      <c r="B97" s="110"/>
      <c r="C97" s="110"/>
      <c r="D97" s="110"/>
      <c r="E97" s="110"/>
      <c r="F97" s="110"/>
      <c r="G97" s="110"/>
      <c r="P97" s="102"/>
      <c r="Q97" s="102"/>
      <c r="R97" s="102"/>
    </row>
    <row r="98" spans="1:18">
      <c r="A98" s="110"/>
      <c r="B98" s="110"/>
      <c r="C98" s="110"/>
      <c r="D98" s="110"/>
      <c r="E98" s="110"/>
      <c r="F98" s="110"/>
      <c r="G98" s="110"/>
      <c r="P98" s="102"/>
      <c r="Q98" s="102"/>
      <c r="R98" s="102"/>
    </row>
    <row r="99" spans="1:18">
      <c r="A99" s="110"/>
      <c r="B99" s="110"/>
      <c r="C99" s="110"/>
      <c r="D99" s="110"/>
      <c r="E99" s="110"/>
      <c r="F99" s="110"/>
      <c r="G99" s="110"/>
      <c r="P99" s="102"/>
      <c r="Q99" s="102"/>
      <c r="R99" s="102"/>
    </row>
    <row r="100" spans="1:18">
      <c r="A100" s="110"/>
      <c r="B100" s="110"/>
      <c r="C100" s="110"/>
      <c r="D100" s="110"/>
      <c r="E100" s="110"/>
      <c r="F100" s="110"/>
      <c r="G100" s="110"/>
      <c r="P100" s="102"/>
      <c r="Q100" s="102"/>
      <c r="R100" s="102"/>
    </row>
    <row r="101" spans="1:18">
      <c r="A101" s="110"/>
      <c r="B101" s="110"/>
      <c r="C101" s="110"/>
      <c r="D101" s="110"/>
      <c r="E101" s="110"/>
      <c r="F101" s="110"/>
      <c r="G101" s="110"/>
      <c r="P101" s="102"/>
      <c r="Q101" s="102"/>
      <c r="R101" s="102"/>
    </row>
    <row r="102" spans="1:18">
      <c r="A102" s="110"/>
      <c r="B102" s="110"/>
      <c r="C102" s="110"/>
      <c r="D102" s="110"/>
      <c r="E102" s="110"/>
      <c r="F102" s="110"/>
      <c r="G102" s="110"/>
      <c r="P102" s="102"/>
      <c r="Q102" s="102"/>
      <c r="R102" s="102"/>
    </row>
    <row r="103" spans="1:18">
      <c r="A103" s="110"/>
      <c r="B103" s="110"/>
      <c r="C103" s="110"/>
      <c r="D103" s="110"/>
      <c r="E103" s="110"/>
      <c r="F103" s="110"/>
      <c r="G103" s="110"/>
      <c r="P103" s="102"/>
      <c r="Q103" s="102"/>
      <c r="R103" s="102"/>
    </row>
    <row r="104" spans="1:18">
      <c r="A104" s="110"/>
      <c r="B104" s="110"/>
      <c r="C104" s="110"/>
      <c r="D104" s="110"/>
      <c r="E104" s="110"/>
      <c r="F104" s="110"/>
      <c r="G104" s="110"/>
      <c r="P104" s="102"/>
      <c r="Q104" s="102"/>
      <c r="R104" s="102"/>
    </row>
    <row r="105" spans="1:18">
      <c r="A105" s="110"/>
      <c r="B105" s="110"/>
      <c r="C105" s="110"/>
      <c r="D105" s="110"/>
      <c r="E105" s="110"/>
      <c r="F105" s="110"/>
      <c r="G105" s="110"/>
      <c r="P105" s="102"/>
      <c r="Q105" s="102"/>
      <c r="R105" s="102"/>
    </row>
    <row r="106" spans="1:18">
      <c r="A106" s="110"/>
      <c r="B106" s="110"/>
      <c r="C106" s="110"/>
      <c r="D106" s="110"/>
      <c r="E106" s="110"/>
      <c r="F106" s="110"/>
      <c r="G106" s="110"/>
      <c r="P106" s="102"/>
      <c r="Q106" s="102"/>
      <c r="R106" s="102"/>
    </row>
    <row r="107" spans="1:18">
      <c r="A107" s="110"/>
      <c r="B107" s="110"/>
      <c r="C107" s="110"/>
      <c r="D107" s="110"/>
      <c r="E107" s="110"/>
      <c r="F107" s="110"/>
      <c r="G107" s="110"/>
      <c r="P107" s="102"/>
      <c r="Q107" s="102"/>
      <c r="R107" s="102"/>
    </row>
    <row r="108" spans="1:18">
      <c r="A108" s="110"/>
      <c r="B108" s="110"/>
      <c r="C108" s="110"/>
      <c r="D108" s="110"/>
      <c r="E108" s="110"/>
      <c r="F108" s="110"/>
      <c r="G108" s="110"/>
      <c r="P108" s="102"/>
      <c r="Q108" s="102"/>
      <c r="R108" s="102"/>
    </row>
    <row r="109" spans="1:18">
      <c r="A109" s="110"/>
      <c r="B109" s="110"/>
      <c r="C109" s="110"/>
      <c r="D109" s="110"/>
      <c r="E109" s="110"/>
      <c r="F109" s="110"/>
      <c r="G109" s="110"/>
      <c r="P109" s="102"/>
      <c r="Q109" s="102"/>
      <c r="R109" s="102"/>
    </row>
    <row r="110" spans="1:18">
      <c r="A110" s="110"/>
      <c r="B110" s="110"/>
      <c r="C110" s="110"/>
      <c r="D110" s="110"/>
      <c r="E110" s="110"/>
      <c r="F110" s="110"/>
      <c r="G110" s="110"/>
      <c r="P110" s="102"/>
      <c r="Q110" s="102"/>
      <c r="R110" s="102"/>
    </row>
    <row r="111" spans="1:18">
      <c r="A111" s="110"/>
      <c r="B111" s="110"/>
      <c r="C111" s="110"/>
      <c r="D111" s="110"/>
      <c r="E111" s="110"/>
      <c r="F111" s="110"/>
      <c r="G111" s="110"/>
      <c r="P111" s="102"/>
      <c r="Q111" s="102"/>
      <c r="R111" s="102"/>
    </row>
    <row r="112" spans="1:18">
      <c r="A112" s="110"/>
      <c r="B112" s="110"/>
      <c r="C112" s="110"/>
      <c r="D112" s="110"/>
      <c r="E112" s="110"/>
      <c r="F112" s="110"/>
      <c r="G112" s="110"/>
      <c r="P112" s="102"/>
      <c r="Q112" s="102"/>
      <c r="R112" s="102"/>
    </row>
    <row r="113" spans="1:18">
      <c r="A113" s="110"/>
      <c r="B113" s="110"/>
      <c r="C113" s="110"/>
      <c r="D113" s="110"/>
      <c r="E113" s="110"/>
      <c r="F113" s="110"/>
      <c r="G113" s="110"/>
      <c r="P113" s="102"/>
      <c r="Q113" s="102"/>
      <c r="R113" s="102"/>
    </row>
    <row r="114" spans="1:18">
      <c r="A114" s="110"/>
      <c r="B114" s="110"/>
      <c r="C114" s="110"/>
      <c r="D114" s="110"/>
      <c r="E114" s="110"/>
      <c r="F114" s="110"/>
      <c r="G114" s="110"/>
      <c r="P114" s="102"/>
      <c r="Q114" s="102"/>
      <c r="R114" s="102"/>
    </row>
    <row r="115" spans="1:18">
      <c r="A115" s="110"/>
      <c r="B115" s="110"/>
      <c r="C115" s="110"/>
      <c r="D115" s="110"/>
      <c r="E115" s="110"/>
      <c r="F115" s="110"/>
      <c r="G115" s="110"/>
      <c r="P115" s="102"/>
      <c r="Q115" s="102"/>
      <c r="R115" s="102"/>
    </row>
    <row r="116" spans="1:18">
      <c r="A116" s="110"/>
      <c r="B116" s="110"/>
      <c r="C116" s="110"/>
      <c r="D116" s="110"/>
      <c r="E116" s="110"/>
      <c r="F116" s="110"/>
      <c r="G116" s="110"/>
      <c r="P116" s="102"/>
      <c r="Q116" s="102"/>
      <c r="R116" s="102"/>
    </row>
    <row r="117" spans="1:18">
      <c r="A117" s="110"/>
      <c r="B117" s="110"/>
      <c r="C117" s="110"/>
      <c r="D117" s="110"/>
      <c r="E117" s="110"/>
      <c r="F117" s="110"/>
      <c r="G117" s="110"/>
      <c r="P117" s="102"/>
      <c r="Q117" s="102"/>
      <c r="R117" s="102"/>
    </row>
    <row r="118" spans="1:18">
      <c r="A118" s="110"/>
      <c r="B118" s="110"/>
      <c r="C118" s="110"/>
      <c r="D118" s="110"/>
      <c r="E118" s="110"/>
      <c r="F118" s="110"/>
      <c r="G118" s="110"/>
      <c r="P118" s="102"/>
      <c r="Q118" s="102"/>
      <c r="R118" s="102"/>
    </row>
    <row r="119" spans="1:18">
      <c r="A119" s="110"/>
      <c r="B119" s="110"/>
      <c r="C119" s="110"/>
      <c r="D119" s="110"/>
      <c r="E119" s="110"/>
      <c r="F119" s="110"/>
      <c r="G119" s="110"/>
      <c r="P119" s="102"/>
      <c r="Q119" s="102"/>
      <c r="R119" s="102"/>
    </row>
    <row r="120" spans="1:18">
      <c r="A120" s="110"/>
      <c r="B120" s="110"/>
      <c r="C120" s="110"/>
      <c r="D120" s="110"/>
      <c r="E120" s="110"/>
      <c r="F120" s="110"/>
      <c r="G120" s="110"/>
      <c r="P120" s="102"/>
      <c r="Q120" s="102"/>
      <c r="R120" s="102"/>
    </row>
    <row r="121" spans="1:18">
      <c r="A121" s="110"/>
      <c r="B121" s="110"/>
      <c r="C121" s="110"/>
      <c r="D121" s="110"/>
      <c r="E121" s="110"/>
      <c r="F121" s="110"/>
      <c r="G121" s="110"/>
      <c r="P121" s="102"/>
      <c r="Q121" s="102"/>
      <c r="R121" s="102"/>
    </row>
    <row r="122" spans="1:18">
      <c r="A122" s="110"/>
      <c r="B122" s="110"/>
      <c r="C122" s="110"/>
      <c r="D122" s="110"/>
      <c r="E122" s="110"/>
      <c r="F122" s="110"/>
      <c r="G122" s="110"/>
      <c r="P122" s="102"/>
      <c r="Q122" s="102"/>
      <c r="R122" s="102"/>
    </row>
    <row r="123" spans="1:18">
      <c r="A123" s="110"/>
      <c r="B123" s="110"/>
      <c r="C123" s="110"/>
      <c r="D123" s="110"/>
      <c r="E123" s="110"/>
      <c r="F123" s="110"/>
      <c r="G123" s="110"/>
      <c r="P123" s="102"/>
      <c r="Q123" s="102"/>
      <c r="R123" s="102"/>
    </row>
    <row r="124" spans="1:18">
      <c r="A124" s="110"/>
      <c r="B124" s="110"/>
      <c r="C124" s="110"/>
      <c r="D124" s="110"/>
      <c r="E124" s="110"/>
      <c r="F124" s="110"/>
      <c r="G124" s="110"/>
      <c r="P124" s="102"/>
      <c r="Q124" s="102"/>
      <c r="R124" s="102"/>
    </row>
    <row r="125" spans="1:18">
      <c r="A125" s="110"/>
      <c r="B125" s="110"/>
      <c r="C125" s="110"/>
      <c r="D125" s="110"/>
      <c r="E125" s="110"/>
      <c r="F125" s="110"/>
      <c r="G125" s="110"/>
      <c r="P125" s="102"/>
      <c r="Q125" s="102"/>
      <c r="R125" s="102"/>
    </row>
    <row r="126" spans="1:18">
      <c r="A126" s="110"/>
      <c r="B126" s="110"/>
      <c r="C126" s="110"/>
      <c r="D126" s="110"/>
      <c r="E126" s="110"/>
      <c r="F126" s="110"/>
      <c r="G126" s="110"/>
      <c r="P126" s="102"/>
      <c r="Q126" s="102"/>
      <c r="R126" s="102"/>
    </row>
    <row r="127" spans="1:18">
      <c r="A127" s="110"/>
      <c r="B127" s="110"/>
      <c r="C127" s="110"/>
      <c r="D127" s="110"/>
      <c r="E127" s="110"/>
      <c r="F127" s="110"/>
      <c r="G127" s="110"/>
      <c r="P127" s="102"/>
      <c r="Q127" s="102"/>
      <c r="R127" s="102"/>
    </row>
    <row r="128" spans="1:18">
      <c r="A128" s="110"/>
      <c r="B128" s="110"/>
      <c r="C128" s="110"/>
      <c r="D128" s="110"/>
      <c r="E128" s="110"/>
      <c r="F128" s="110"/>
      <c r="G128" s="110"/>
      <c r="P128" s="102"/>
      <c r="Q128" s="102"/>
      <c r="R128" s="102"/>
    </row>
    <row r="129" spans="1:18">
      <c r="A129" s="110"/>
      <c r="B129" s="110"/>
      <c r="C129" s="110"/>
      <c r="D129" s="110"/>
      <c r="E129" s="110"/>
      <c r="F129" s="110"/>
      <c r="G129" s="110"/>
      <c r="P129" s="102"/>
      <c r="Q129" s="102"/>
      <c r="R129" s="102"/>
    </row>
    <row r="130" spans="1:18">
      <c r="A130" s="110"/>
      <c r="B130" s="110"/>
      <c r="C130" s="110"/>
      <c r="D130" s="110"/>
      <c r="E130" s="110"/>
      <c r="F130" s="110"/>
      <c r="G130" s="110"/>
      <c r="P130" s="102"/>
      <c r="Q130" s="102"/>
      <c r="R130" s="102"/>
    </row>
    <row r="131" spans="1:18">
      <c r="A131" s="110"/>
      <c r="B131" s="110"/>
      <c r="C131" s="110"/>
      <c r="D131" s="110"/>
      <c r="E131" s="110"/>
      <c r="F131" s="110"/>
      <c r="G131" s="110"/>
      <c r="P131" s="102"/>
      <c r="Q131" s="102"/>
      <c r="R131" s="102"/>
    </row>
    <row r="132" spans="1:18">
      <c r="A132" s="110"/>
      <c r="B132" s="110"/>
      <c r="C132" s="110"/>
      <c r="D132" s="110"/>
      <c r="E132" s="110"/>
      <c r="F132" s="110"/>
      <c r="G132" s="110"/>
      <c r="P132" s="102"/>
      <c r="Q132" s="102"/>
      <c r="R132" s="102"/>
    </row>
    <row r="133" spans="1:18">
      <c r="A133" s="110"/>
      <c r="B133" s="110"/>
      <c r="C133" s="110"/>
      <c r="D133" s="110"/>
      <c r="E133" s="110"/>
      <c r="F133" s="110"/>
      <c r="G133" s="110"/>
      <c r="P133" s="102"/>
      <c r="Q133" s="102"/>
      <c r="R133" s="102"/>
    </row>
    <row r="134" spans="1:18">
      <c r="A134" s="110"/>
      <c r="B134" s="110"/>
      <c r="C134" s="110"/>
      <c r="D134" s="110"/>
      <c r="E134" s="110"/>
      <c r="F134" s="110"/>
      <c r="G134" s="110"/>
      <c r="P134" s="102"/>
      <c r="Q134" s="102"/>
      <c r="R134" s="102"/>
    </row>
    <row r="135" spans="1:18">
      <c r="A135" s="110"/>
      <c r="B135" s="110"/>
      <c r="C135" s="110"/>
      <c r="D135" s="110"/>
      <c r="E135" s="110"/>
      <c r="F135" s="110"/>
      <c r="G135" s="110"/>
      <c r="P135" s="102"/>
      <c r="Q135" s="102"/>
      <c r="R135" s="102"/>
    </row>
    <row r="136" spans="1:18">
      <c r="A136" s="110"/>
      <c r="B136" s="110"/>
      <c r="C136" s="110"/>
      <c r="D136" s="110"/>
      <c r="E136" s="110"/>
      <c r="F136" s="110"/>
      <c r="G136" s="110"/>
      <c r="P136" s="102"/>
      <c r="Q136" s="102"/>
      <c r="R136" s="102"/>
    </row>
    <row r="137" spans="1:18">
      <c r="A137" s="110"/>
      <c r="B137" s="110"/>
      <c r="C137" s="110"/>
      <c r="D137" s="110"/>
      <c r="E137" s="110"/>
      <c r="F137" s="110"/>
      <c r="G137" s="110"/>
      <c r="P137" s="102"/>
      <c r="Q137" s="102"/>
      <c r="R137" s="102"/>
    </row>
    <row r="138" spans="1:18">
      <c r="A138" s="110"/>
      <c r="B138" s="110"/>
      <c r="C138" s="110"/>
      <c r="D138" s="110"/>
      <c r="E138" s="110"/>
      <c r="F138" s="110"/>
      <c r="G138" s="110"/>
      <c r="P138" s="102"/>
      <c r="Q138" s="102"/>
      <c r="R138" s="102"/>
    </row>
    <row r="139" spans="1:18">
      <c r="A139" s="110"/>
      <c r="B139" s="110"/>
      <c r="C139" s="110"/>
      <c r="D139" s="110"/>
      <c r="E139" s="110"/>
      <c r="F139" s="110"/>
      <c r="G139" s="110"/>
      <c r="P139" s="102"/>
      <c r="Q139" s="102"/>
      <c r="R139" s="102"/>
    </row>
    <row r="140" spans="1:18">
      <c r="A140" s="110"/>
      <c r="B140" s="110"/>
      <c r="C140" s="110"/>
      <c r="D140" s="110"/>
      <c r="E140" s="110"/>
      <c r="F140" s="110"/>
      <c r="G140" s="110"/>
      <c r="P140" s="102"/>
      <c r="Q140" s="102"/>
      <c r="R140" s="102"/>
    </row>
    <row r="141" spans="1:18">
      <c r="A141" s="110"/>
      <c r="B141" s="110"/>
      <c r="C141" s="110"/>
      <c r="D141" s="110"/>
      <c r="E141" s="110"/>
      <c r="F141" s="110"/>
      <c r="G141" s="110"/>
      <c r="P141" s="102"/>
      <c r="Q141" s="102"/>
      <c r="R141" s="102"/>
    </row>
    <row r="142" spans="1:18">
      <c r="A142" s="110"/>
      <c r="B142" s="110"/>
      <c r="C142" s="110"/>
      <c r="D142" s="110"/>
      <c r="E142" s="110"/>
      <c r="F142" s="110"/>
      <c r="G142" s="110"/>
      <c r="P142" s="102"/>
      <c r="Q142" s="102"/>
      <c r="R142" s="102"/>
    </row>
    <row r="143" spans="1:18">
      <c r="A143" s="110"/>
      <c r="B143" s="110"/>
      <c r="C143" s="110"/>
      <c r="D143" s="110"/>
      <c r="E143" s="110"/>
      <c r="F143" s="110"/>
      <c r="G143" s="110"/>
      <c r="P143" s="102"/>
      <c r="Q143" s="102"/>
      <c r="R143" s="102"/>
    </row>
    <row r="144" spans="1:18">
      <c r="A144" s="110"/>
      <c r="B144" s="110"/>
      <c r="C144" s="110"/>
      <c r="D144" s="110"/>
      <c r="E144" s="110"/>
      <c r="F144" s="110"/>
      <c r="G144" s="110"/>
      <c r="P144" s="102"/>
      <c r="Q144" s="102"/>
      <c r="R144" s="102"/>
    </row>
    <row r="145" spans="1:18">
      <c r="A145" s="110"/>
      <c r="B145" s="110"/>
      <c r="C145" s="110"/>
      <c r="D145" s="110"/>
      <c r="E145" s="110"/>
      <c r="F145" s="110"/>
      <c r="G145" s="110"/>
      <c r="P145" s="102"/>
      <c r="Q145" s="102"/>
      <c r="R145" s="102"/>
    </row>
    <row r="146" spans="1:18">
      <c r="A146" s="110"/>
      <c r="B146" s="110"/>
      <c r="C146" s="110"/>
      <c r="D146" s="110"/>
      <c r="E146" s="110"/>
      <c r="F146" s="110"/>
      <c r="G146" s="110"/>
      <c r="P146" s="102"/>
      <c r="Q146" s="102"/>
      <c r="R146" s="102"/>
    </row>
    <row r="147" spans="1:18">
      <c r="A147" s="110"/>
      <c r="B147" s="110"/>
      <c r="C147" s="110"/>
      <c r="D147" s="110"/>
      <c r="E147" s="110"/>
      <c r="F147" s="110"/>
      <c r="G147" s="110"/>
      <c r="P147" s="102"/>
      <c r="Q147" s="102"/>
      <c r="R147" s="102"/>
    </row>
    <row r="148" spans="1:18">
      <c r="A148" s="110"/>
      <c r="B148" s="110"/>
      <c r="C148" s="110"/>
      <c r="D148" s="110"/>
      <c r="E148" s="110"/>
      <c r="F148" s="110"/>
      <c r="G148" s="110"/>
      <c r="P148" s="102"/>
      <c r="Q148" s="102"/>
      <c r="R148" s="102"/>
    </row>
    <row r="149" spans="1:18">
      <c r="A149" s="110"/>
      <c r="B149" s="110"/>
      <c r="C149" s="110"/>
      <c r="D149" s="110"/>
      <c r="E149" s="110"/>
      <c r="F149" s="110"/>
      <c r="G149" s="110"/>
      <c r="P149" s="102"/>
      <c r="Q149" s="102"/>
      <c r="R149" s="102"/>
    </row>
    <row r="150" spans="1:18">
      <c r="A150" s="110"/>
      <c r="B150" s="110"/>
      <c r="C150" s="110"/>
      <c r="D150" s="110"/>
      <c r="E150" s="110"/>
      <c r="F150" s="110"/>
      <c r="G150" s="110"/>
      <c r="P150" s="102"/>
      <c r="Q150" s="102"/>
      <c r="R150" s="102"/>
    </row>
    <row r="151" spans="1:18">
      <c r="A151" s="110"/>
      <c r="B151" s="110"/>
      <c r="C151" s="110"/>
      <c r="D151" s="110"/>
      <c r="E151" s="110"/>
      <c r="F151" s="110"/>
      <c r="G151" s="110"/>
      <c r="P151" s="102"/>
      <c r="Q151" s="102"/>
      <c r="R151" s="102"/>
    </row>
    <row r="152" spans="1:18">
      <c r="A152" s="110"/>
      <c r="B152" s="110"/>
      <c r="C152" s="110"/>
      <c r="D152" s="110"/>
      <c r="E152" s="110"/>
      <c r="F152" s="110"/>
      <c r="G152" s="110"/>
      <c r="P152" s="102"/>
      <c r="Q152" s="102"/>
      <c r="R152" s="102"/>
    </row>
    <row r="153" spans="1:18">
      <c r="A153" s="110"/>
      <c r="B153" s="110"/>
      <c r="C153" s="110"/>
      <c r="D153" s="110"/>
      <c r="E153" s="110"/>
      <c r="F153" s="110"/>
      <c r="G153" s="110"/>
      <c r="P153" s="102"/>
      <c r="Q153" s="102"/>
      <c r="R153" s="102"/>
    </row>
    <row r="154" spans="1:18">
      <c r="A154" s="110"/>
      <c r="B154" s="110"/>
      <c r="C154" s="110"/>
      <c r="D154" s="110"/>
      <c r="E154" s="110"/>
      <c r="F154" s="110"/>
      <c r="G154" s="110"/>
      <c r="P154" s="102"/>
      <c r="Q154" s="102"/>
      <c r="R154" s="102"/>
    </row>
    <row r="155" spans="1:18">
      <c r="A155" s="110"/>
      <c r="B155" s="110"/>
      <c r="C155" s="110"/>
      <c r="D155" s="110"/>
      <c r="E155" s="110"/>
      <c r="F155" s="110"/>
      <c r="G155" s="110"/>
      <c r="P155" s="102"/>
      <c r="Q155" s="102"/>
      <c r="R155" s="102"/>
    </row>
    <row r="156" spans="1:18">
      <c r="A156" s="110"/>
      <c r="B156" s="110"/>
      <c r="C156" s="110"/>
      <c r="D156" s="110"/>
      <c r="E156" s="110"/>
      <c r="F156" s="110"/>
      <c r="G156" s="110"/>
      <c r="P156" s="102"/>
      <c r="Q156" s="102"/>
      <c r="R156" s="102"/>
    </row>
    <row r="157" spans="1:18">
      <c r="A157" s="110"/>
      <c r="B157" s="110"/>
      <c r="C157" s="110"/>
      <c r="D157" s="110"/>
      <c r="E157" s="110"/>
      <c r="F157" s="110"/>
      <c r="G157" s="110"/>
      <c r="P157" s="102"/>
      <c r="Q157" s="102"/>
      <c r="R157" s="102"/>
    </row>
    <row r="158" spans="1:18">
      <c r="A158" s="110"/>
      <c r="B158" s="110"/>
      <c r="C158" s="110"/>
      <c r="D158" s="110"/>
      <c r="E158" s="110"/>
      <c r="F158" s="110"/>
      <c r="G158" s="110"/>
      <c r="P158" s="102"/>
      <c r="Q158" s="102"/>
      <c r="R158" s="102"/>
    </row>
    <row r="159" spans="1:18">
      <c r="A159" s="110"/>
      <c r="B159" s="110"/>
      <c r="C159" s="110"/>
      <c r="D159" s="110"/>
      <c r="E159" s="110"/>
      <c r="F159" s="110"/>
      <c r="G159" s="110"/>
      <c r="P159" s="102"/>
      <c r="Q159" s="102"/>
      <c r="R159" s="102"/>
    </row>
    <row r="160" spans="1:18">
      <c r="A160" s="110"/>
      <c r="B160" s="110"/>
      <c r="C160" s="110"/>
      <c r="D160" s="110"/>
      <c r="E160" s="110"/>
      <c r="F160" s="110"/>
      <c r="G160" s="110"/>
      <c r="P160" s="102"/>
      <c r="Q160" s="102"/>
      <c r="R160" s="102"/>
    </row>
    <row r="161" spans="1:18">
      <c r="A161" s="110"/>
      <c r="B161" s="110"/>
      <c r="C161" s="110"/>
      <c r="D161" s="110"/>
      <c r="E161" s="110"/>
      <c r="F161" s="110"/>
      <c r="G161" s="110"/>
      <c r="P161" s="102"/>
      <c r="Q161" s="102"/>
      <c r="R161" s="102"/>
    </row>
    <row r="162" spans="1:18">
      <c r="A162" s="110"/>
      <c r="B162" s="110"/>
      <c r="C162" s="110"/>
      <c r="D162" s="110"/>
      <c r="E162" s="110"/>
      <c r="F162" s="110"/>
      <c r="G162" s="110"/>
      <c r="P162" s="102"/>
      <c r="Q162" s="102"/>
      <c r="R162" s="102"/>
    </row>
    <row r="163" spans="1:18">
      <c r="A163" s="110"/>
      <c r="B163" s="110"/>
      <c r="C163" s="110"/>
      <c r="D163" s="110"/>
      <c r="E163" s="110"/>
      <c r="F163" s="110"/>
      <c r="G163" s="110"/>
      <c r="P163" s="102"/>
      <c r="Q163" s="102"/>
      <c r="R163" s="102"/>
    </row>
    <row r="164" spans="1:18">
      <c r="A164" s="110"/>
      <c r="B164" s="110"/>
      <c r="C164" s="110"/>
      <c r="D164" s="110"/>
      <c r="E164" s="110"/>
      <c r="F164" s="110"/>
      <c r="G164" s="110"/>
      <c r="P164" s="102"/>
      <c r="Q164" s="102"/>
      <c r="R164" s="102"/>
    </row>
    <row r="165" spans="1:18">
      <c r="A165" s="110"/>
      <c r="B165" s="110"/>
      <c r="C165" s="110"/>
      <c r="D165" s="110"/>
      <c r="E165" s="110"/>
      <c r="F165" s="110"/>
      <c r="G165" s="110"/>
      <c r="P165" s="102"/>
      <c r="Q165" s="102"/>
      <c r="R165" s="102"/>
    </row>
    <row r="166" spans="1:18">
      <c r="A166" s="110"/>
      <c r="B166" s="110"/>
      <c r="C166" s="110"/>
      <c r="D166" s="110"/>
      <c r="E166" s="110"/>
      <c r="F166" s="110"/>
      <c r="G166" s="110"/>
      <c r="P166" s="102"/>
      <c r="Q166" s="102"/>
      <c r="R166" s="102"/>
    </row>
    <row r="167" spans="1:18">
      <c r="A167" s="110"/>
      <c r="B167" s="110"/>
      <c r="C167" s="110"/>
      <c r="D167" s="110"/>
      <c r="E167" s="110"/>
      <c r="F167" s="110"/>
      <c r="G167" s="110"/>
      <c r="P167" s="102"/>
      <c r="Q167" s="102"/>
      <c r="R167" s="102"/>
    </row>
    <row r="168" spans="1:18">
      <c r="A168" s="110"/>
      <c r="B168" s="110"/>
      <c r="C168" s="110"/>
      <c r="D168" s="110"/>
      <c r="E168" s="110"/>
      <c r="F168" s="110"/>
      <c r="G168" s="110"/>
      <c r="P168" s="102"/>
      <c r="Q168" s="102"/>
      <c r="R168" s="102"/>
    </row>
    <row r="169" spans="1:18">
      <c r="A169" s="110"/>
      <c r="B169" s="110"/>
      <c r="C169" s="110"/>
      <c r="D169" s="110"/>
      <c r="E169" s="110"/>
      <c r="F169" s="110"/>
      <c r="G169" s="110"/>
      <c r="P169" s="102"/>
      <c r="Q169" s="102"/>
      <c r="R169" s="102"/>
    </row>
    <row r="170" spans="1:18">
      <c r="A170" s="110"/>
      <c r="B170" s="110"/>
      <c r="C170" s="110"/>
      <c r="D170" s="110"/>
      <c r="E170" s="110"/>
      <c r="F170" s="110"/>
      <c r="G170" s="110"/>
      <c r="P170" s="102"/>
      <c r="Q170" s="102"/>
      <c r="R170" s="102"/>
    </row>
    <row r="171" spans="1:18">
      <c r="A171" s="110"/>
      <c r="B171" s="110"/>
      <c r="C171" s="110"/>
      <c r="D171" s="110"/>
      <c r="E171" s="110"/>
      <c r="F171" s="110"/>
      <c r="G171" s="110"/>
      <c r="P171" s="102"/>
      <c r="Q171" s="102"/>
      <c r="R171" s="102"/>
    </row>
    <row r="172" spans="1:18">
      <c r="A172" s="110"/>
      <c r="B172" s="110"/>
      <c r="C172" s="110"/>
      <c r="D172" s="110"/>
      <c r="E172" s="110"/>
      <c r="F172" s="110"/>
      <c r="G172" s="110"/>
      <c r="P172" s="102"/>
      <c r="Q172" s="102"/>
      <c r="R172" s="102"/>
    </row>
    <row r="173" spans="1:18">
      <c r="A173" s="110"/>
      <c r="B173" s="110"/>
      <c r="C173" s="110"/>
      <c r="D173" s="110"/>
      <c r="E173" s="110"/>
      <c r="F173" s="110"/>
      <c r="G173" s="110"/>
      <c r="P173" s="102"/>
      <c r="Q173" s="102"/>
      <c r="R173" s="102"/>
    </row>
    <row r="174" spans="1:18">
      <c r="A174" s="110"/>
      <c r="B174" s="110"/>
      <c r="C174" s="110"/>
      <c r="D174" s="110"/>
      <c r="E174" s="110"/>
      <c r="F174" s="110"/>
      <c r="G174" s="110"/>
      <c r="P174" s="102"/>
      <c r="Q174" s="102"/>
      <c r="R174" s="102"/>
    </row>
    <row r="175" spans="1:18">
      <c r="A175" s="110"/>
      <c r="B175" s="110"/>
      <c r="C175" s="110"/>
      <c r="D175" s="110"/>
      <c r="E175" s="110"/>
      <c r="F175" s="110"/>
      <c r="G175" s="110"/>
      <c r="P175" s="102"/>
      <c r="Q175" s="102"/>
      <c r="R175" s="102"/>
    </row>
    <row r="176" spans="1:18">
      <c r="A176" s="110"/>
      <c r="B176" s="110"/>
      <c r="C176" s="110"/>
      <c r="D176" s="110"/>
      <c r="E176" s="110"/>
      <c r="F176" s="110"/>
      <c r="G176" s="110"/>
      <c r="P176" s="102"/>
      <c r="Q176" s="102"/>
      <c r="R176" s="102"/>
    </row>
    <row r="177" spans="1:18">
      <c r="A177" s="110"/>
      <c r="B177" s="110"/>
      <c r="C177" s="110"/>
      <c r="D177" s="110"/>
      <c r="E177" s="110"/>
      <c r="F177" s="110"/>
      <c r="G177" s="110"/>
      <c r="P177" s="102"/>
      <c r="Q177" s="102"/>
      <c r="R177" s="102"/>
    </row>
    <row r="178" spans="1:18">
      <c r="A178" s="110"/>
      <c r="B178" s="110"/>
      <c r="C178" s="110"/>
      <c r="D178" s="110"/>
      <c r="E178" s="110"/>
      <c r="F178" s="110"/>
      <c r="G178" s="110"/>
      <c r="P178" s="102"/>
      <c r="Q178" s="102"/>
      <c r="R178" s="102"/>
    </row>
    <row r="179" spans="1:18">
      <c r="A179" s="110"/>
      <c r="B179" s="110"/>
      <c r="C179" s="110"/>
      <c r="D179" s="110"/>
      <c r="E179" s="110"/>
      <c r="F179" s="110"/>
      <c r="G179" s="110"/>
      <c r="P179" s="102"/>
      <c r="Q179" s="102"/>
      <c r="R179" s="102"/>
    </row>
    <row r="180" spans="1:18">
      <c r="A180" s="110"/>
      <c r="B180" s="110"/>
      <c r="C180" s="110"/>
      <c r="D180" s="110"/>
      <c r="E180" s="110"/>
      <c r="F180" s="110"/>
      <c r="G180" s="110"/>
      <c r="P180" s="102"/>
      <c r="Q180" s="102"/>
      <c r="R180" s="102"/>
    </row>
    <row r="181" spans="1:18">
      <c r="A181" s="110"/>
      <c r="B181" s="110"/>
      <c r="C181" s="110"/>
      <c r="D181" s="110"/>
      <c r="E181" s="110"/>
      <c r="F181" s="110"/>
      <c r="G181" s="110"/>
      <c r="P181" s="102"/>
      <c r="Q181" s="102"/>
      <c r="R181" s="102"/>
    </row>
    <row r="182" spans="1:18">
      <c r="A182" s="110"/>
      <c r="B182" s="110"/>
      <c r="C182" s="110"/>
      <c r="D182" s="110"/>
      <c r="E182" s="110"/>
      <c r="F182" s="110"/>
      <c r="G182" s="110"/>
      <c r="P182" s="102"/>
      <c r="Q182" s="102"/>
      <c r="R182" s="102"/>
    </row>
    <row r="183" spans="1:18">
      <c r="A183" s="110"/>
      <c r="B183" s="110"/>
      <c r="C183" s="110"/>
      <c r="D183" s="110"/>
      <c r="E183" s="110"/>
      <c r="F183" s="110"/>
      <c r="G183" s="110"/>
      <c r="P183" s="102"/>
      <c r="Q183" s="102"/>
      <c r="R183" s="102"/>
    </row>
    <row r="184" spans="1:18">
      <c r="A184" s="110"/>
      <c r="B184" s="110"/>
      <c r="C184" s="110"/>
      <c r="D184" s="110"/>
      <c r="E184" s="110"/>
      <c r="F184" s="110"/>
      <c r="G184" s="110"/>
      <c r="P184" s="102"/>
      <c r="Q184" s="102"/>
      <c r="R184" s="102"/>
    </row>
    <row r="185" spans="1:18">
      <c r="A185" s="110"/>
      <c r="B185" s="110"/>
      <c r="C185" s="110"/>
      <c r="D185" s="110"/>
      <c r="E185" s="110"/>
      <c r="F185" s="110"/>
      <c r="G185" s="110"/>
      <c r="P185" s="102"/>
      <c r="Q185" s="102"/>
      <c r="R185" s="102"/>
    </row>
    <row r="186" spans="1:18">
      <c r="A186" s="110"/>
      <c r="B186" s="110"/>
      <c r="C186" s="110"/>
      <c r="D186" s="110"/>
      <c r="E186" s="110"/>
      <c r="F186" s="110"/>
      <c r="G186" s="110"/>
      <c r="P186" s="102"/>
      <c r="Q186" s="102"/>
      <c r="R186" s="102"/>
    </row>
    <row r="187" spans="1:18">
      <c r="A187" s="110"/>
      <c r="B187" s="110"/>
      <c r="C187" s="110"/>
      <c r="D187" s="110"/>
      <c r="E187" s="110"/>
      <c r="F187" s="110"/>
      <c r="G187" s="110"/>
      <c r="P187" s="102"/>
      <c r="Q187" s="102"/>
      <c r="R187" s="102"/>
    </row>
    <row r="188" spans="1:18">
      <c r="A188" s="110"/>
      <c r="B188" s="110"/>
      <c r="C188" s="110"/>
      <c r="D188" s="110"/>
      <c r="E188" s="110"/>
      <c r="F188" s="110"/>
      <c r="G188" s="110"/>
      <c r="P188" s="102"/>
      <c r="Q188" s="102"/>
      <c r="R188" s="102"/>
    </row>
    <row r="189" spans="1:18">
      <c r="A189" s="110"/>
      <c r="B189" s="110"/>
      <c r="C189" s="110"/>
      <c r="D189" s="110"/>
      <c r="E189" s="110"/>
      <c r="F189" s="110"/>
      <c r="G189" s="110"/>
      <c r="P189" s="102"/>
      <c r="Q189" s="102"/>
      <c r="R189" s="102"/>
    </row>
    <row r="190" spans="1:18">
      <c r="A190" s="110"/>
      <c r="B190" s="110"/>
      <c r="C190" s="110"/>
      <c r="D190" s="110"/>
      <c r="E190" s="110"/>
      <c r="F190" s="110"/>
      <c r="G190" s="110"/>
      <c r="P190" s="102"/>
      <c r="Q190" s="102"/>
      <c r="R190" s="102"/>
    </row>
    <row r="191" spans="1:18">
      <c r="A191" s="110"/>
      <c r="B191" s="110"/>
      <c r="C191" s="110"/>
      <c r="D191" s="110"/>
      <c r="E191" s="110"/>
      <c r="F191" s="110"/>
      <c r="G191" s="110"/>
      <c r="P191" s="102"/>
      <c r="Q191" s="102"/>
      <c r="R191" s="102"/>
    </row>
    <row r="192" spans="1:18">
      <c r="A192" s="110"/>
      <c r="B192" s="110"/>
      <c r="C192" s="110"/>
      <c r="D192" s="110"/>
      <c r="E192" s="110"/>
      <c r="F192" s="110"/>
      <c r="G192" s="110"/>
      <c r="P192" s="102"/>
      <c r="Q192" s="102"/>
      <c r="R192" s="102"/>
    </row>
    <row r="193" spans="1:18">
      <c r="A193" s="110"/>
      <c r="B193" s="110"/>
      <c r="C193" s="110"/>
      <c r="D193" s="110"/>
      <c r="E193" s="110"/>
      <c r="F193" s="110"/>
      <c r="G193" s="110"/>
      <c r="P193" s="102"/>
      <c r="Q193" s="102"/>
      <c r="R193" s="102"/>
    </row>
    <row r="194" spans="1:18">
      <c r="A194" s="110"/>
      <c r="B194" s="110"/>
      <c r="C194" s="110"/>
      <c r="D194" s="110"/>
      <c r="E194" s="110"/>
      <c r="F194" s="110"/>
      <c r="G194" s="110"/>
      <c r="P194" s="102"/>
      <c r="Q194" s="102"/>
      <c r="R194" s="102"/>
    </row>
    <row r="195" spans="1:18">
      <c r="A195" s="110"/>
      <c r="B195" s="110"/>
      <c r="C195" s="110"/>
      <c r="D195" s="110"/>
      <c r="E195" s="110"/>
      <c r="F195" s="110"/>
      <c r="G195" s="110"/>
      <c r="P195" s="102"/>
      <c r="Q195" s="102"/>
      <c r="R195" s="102"/>
    </row>
    <row r="196" spans="1:18">
      <c r="A196" s="110"/>
      <c r="B196" s="110"/>
      <c r="C196" s="110"/>
      <c r="D196" s="110"/>
      <c r="E196" s="110"/>
      <c r="F196" s="110"/>
      <c r="G196" s="110"/>
      <c r="P196" s="102"/>
      <c r="Q196" s="102"/>
      <c r="R196" s="102"/>
    </row>
    <row r="197" spans="1:18">
      <c r="A197" s="110"/>
      <c r="B197" s="110"/>
      <c r="C197" s="110"/>
      <c r="D197" s="110"/>
      <c r="E197" s="110"/>
      <c r="F197" s="110"/>
      <c r="G197" s="110"/>
      <c r="P197" s="102"/>
      <c r="Q197" s="102"/>
      <c r="R197" s="102"/>
    </row>
    <row r="198" spans="1:18">
      <c r="A198" s="110"/>
      <c r="B198" s="110"/>
      <c r="C198" s="110"/>
      <c r="D198" s="110"/>
      <c r="E198" s="110"/>
      <c r="F198" s="110"/>
      <c r="G198" s="110"/>
      <c r="P198" s="102"/>
      <c r="Q198" s="102"/>
      <c r="R198" s="102"/>
    </row>
    <row r="199" spans="1:18">
      <c r="A199" s="110"/>
      <c r="B199" s="110"/>
      <c r="C199" s="110"/>
      <c r="D199" s="110"/>
      <c r="E199" s="110"/>
      <c r="F199" s="110"/>
      <c r="G199" s="110"/>
      <c r="P199" s="102"/>
      <c r="Q199" s="102"/>
      <c r="R199" s="102"/>
    </row>
    <row r="200" spans="1:18">
      <c r="A200" s="110"/>
      <c r="B200" s="110"/>
      <c r="C200" s="110"/>
      <c r="D200" s="110"/>
      <c r="E200" s="110"/>
      <c r="F200" s="110"/>
      <c r="G200" s="110"/>
      <c r="P200" s="102"/>
      <c r="Q200" s="102"/>
      <c r="R200" s="102"/>
    </row>
    <row r="201" spans="1:18">
      <c r="A201" s="110"/>
      <c r="B201" s="110"/>
      <c r="C201" s="110"/>
      <c r="D201" s="110"/>
      <c r="E201" s="110"/>
      <c r="F201" s="110"/>
      <c r="G201" s="110"/>
      <c r="P201" s="102"/>
      <c r="Q201" s="102"/>
      <c r="R201" s="102"/>
    </row>
    <row r="202" spans="1:18">
      <c r="A202" s="110"/>
      <c r="B202" s="110"/>
      <c r="C202" s="110"/>
      <c r="D202" s="110"/>
      <c r="E202" s="110"/>
      <c r="F202" s="110"/>
      <c r="G202" s="110"/>
      <c r="P202" s="102"/>
      <c r="Q202" s="102"/>
      <c r="R202" s="102"/>
    </row>
    <row r="203" spans="1:18">
      <c r="A203" s="110"/>
      <c r="B203" s="110"/>
      <c r="C203" s="110"/>
      <c r="D203" s="110"/>
      <c r="E203" s="110"/>
      <c r="F203" s="110"/>
      <c r="G203" s="110"/>
      <c r="P203" s="102"/>
      <c r="Q203" s="102"/>
      <c r="R203" s="102"/>
    </row>
    <row r="204" spans="1:18">
      <c r="A204" s="110"/>
      <c r="B204" s="110"/>
      <c r="C204" s="110"/>
      <c r="D204" s="110"/>
      <c r="E204" s="110"/>
      <c r="F204" s="110"/>
      <c r="G204" s="110"/>
      <c r="P204" s="102"/>
      <c r="Q204" s="102"/>
      <c r="R204" s="102"/>
    </row>
    <row r="205" spans="1:18">
      <c r="A205" s="110"/>
      <c r="B205" s="110"/>
      <c r="C205" s="110"/>
      <c r="D205" s="110"/>
      <c r="E205" s="110"/>
      <c r="F205" s="110"/>
      <c r="G205" s="110"/>
      <c r="P205" s="102"/>
      <c r="Q205" s="102"/>
      <c r="R205" s="102"/>
    </row>
    <row r="206" spans="1:18">
      <c r="A206" s="110"/>
      <c r="B206" s="110"/>
      <c r="C206" s="110"/>
      <c r="D206" s="110"/>
      <c r="E206" s="110"/>
      <c r="F206" s="110"/>
      <c r="G206" s="110"/>
      <c r="P206" s="102"/>
      <c r="Q206" s="102"/>
      <c r="R206" s="102"/>
    </row>
    <row r="207" spans="1:18">
      <c r="A207" s="110"/>
      <c r="B207" s="110"/>
      <c r="C207" s="110"/>
      <c r="D207" s="110"/>
      <c r="E207" s="110"/>
      <c r="F207" s="110"/>
      <c r="G207" s="110"/>
      <c r="P207" s="102"/>
      <c r="Q207" s="102"/>
      <c r="R207" s="102"/>
    </row>
    <row r="208" spans="1:18">
      <c r="A208" s="110"/>
      <c r="B208" s="110"/>
      <c r="C208" s="110"/>
      <c r="D208" s="110"/>
      <c r="E208" s="110"/>
      <c r="F208" s="110"/>
      <c r="G208" s="110"/>
      <c r="P208" s="102"/>
      <c r="Q208" s="102"/>
      <c r="R208" s="102"/>
    </row>
    <row r="209" spans="1:18">
      <c r="A209" s="110"/>
      <c r="B209" s="110"/>
      <c r="C209" s="110"/>
      <c r="D209" s="110"/>
      <c r="E209" s="110"/>
      <c r="F209" s="110"/>
      <c r="G209" s="110"/>
      <c r="P209" s="102"/>
      <c r="Q209" s="102"/>
      <c r="R209" s="102"/>
    </row>
    <row r="210" spans="1:18">
      <c r="A210" s="110"/>
      <c r="B210" s="110"/>
      <c r="C210" s="110"/>
      <c r="D210" s="110"/>
      <c r="E210" s="110"/>
      <c r="F210" s="110"/>
      <c r="G210" s="110"/>
      <c r="P210" s="102"/>
      <c r="Q210" s="102"/>
      <c r="R210" s="102"/>
    </row>
    <row r="211" spans="1:18">
      <c r="A211" s="110"/>
      <c r="B211" s="110"/>
      <c r="C211" s="110"/>
      <c r="D211" s="110"/>
      <c r="E211" s="110"/>
      <c r="F211" s="110"/>
      <c r="G211" s="110"/>
      <c r="P211" s="102"/>
      <c r="Q211" s="102"/>
      <c r="R211" s="102"/>
    </row>
    <row r="212" spans="1:18">
      <c r="A212" s="110"/>
      <c r="B212" s="110"/>
      <c r="C212" s="110"/>
      <c r="D212" s="110"/>
      <c r="E212" s="110"/>
      <c r="F212" s="110"/>
      <c r="G212" s="110"/>
      <c r="P212" s="102"/>
      <c r="Q212" s="102"/>
      <c r="R212" s="102"/>
    </row>
    <row r="213" spans="1:18">
      <c r="A213" s="110"/>
      <c r="B213" s="110"/>
      <c r="C213" s="110"/>
      <c r="D213" s="110"/>
      <c r="E213" s="110"/>
      <c r="F213" s="110"/>
      <c r="G213" s="110"/>
      <c r="P213" s="102"/>
      <c r="Q213" s="102"/>
      <c r="R213" s="102"/>
    </row>
    <row r="214" spans="1:18">
      <c r="A214" s="110"/>
      <c r="B214" s="110"/>
      <c r="C214" s="110"/>
      <c r="D214" s="110"/>
      <c r="E214" s="110"/>
      <c r="F214" s="110"/>
      <c r="G214" s="110"/>
      <c r="P214" s="102"/>
      <c r="Q214" s="102"/>
      <c r="R214" s="102"/>
    </row>
    <row r="215" spans="1:18">
      <c r="A215" s="110"/>
      <c r="B215" s="110"/>
      <c r="C215" s="110"/>
      <c r="D215" s="110"/>
      <c r="E215" s="110"/>
      <c r="F215" s="110"/>
      <c r="G215" s="110"/>
      <c r="P215" s="102"/>
      <c r="Q215" s="102"/>
      <c r="R215" s="102"/>
    </row>
    <row r="216" spans="1:18">
      <c r="A216" s="110"/>
      <c r="B216" s="110"/>
      <c r="C216" s="110"/>
      <c r="D216" s="110"/>
      <c r="E216" s="110"/>
      <c r="F216" s="110"/>
      <c r="G216" s="110"/>
      <c r="P216" s="102"/>
      <c r="Q216" s="102"/>
      <c r="R216" s="102"/>
    </row>
    <row r="217" spans="1:18">
      <c r="A217" s="110"/>
      <c r="B217" s="110"/>
      <c r="C217" s="110"/>
      <c r="D217" s="110"/>
      <c r="E217" s="110"/>
      <c r="F217" s="110"/>
      <c r="G217" s="110"/>
      <c r="P217" s="102"/>
      <c r="Q217" s="102"/>
      <c r="R217" s="102"/>
    </row>
    <row r="218" spans="1:18">
      <c r="A218" s="110"/>
      <c r="B218" s="110"/>
      <c r="C218" s="110"/>
      <c r="D218" s="110"/>
      <c r="E218" s="110"/>
      <c r="F218" s="110"/>
      <c r="G218" s="110"/>
      <c r="P218" s="102"/>
      <c r="Q218" s="102"/>
      <c r="R218" s="102"/>
    </row>
    <row r="219" spans="1:18">
      <c r="A219" s="110"/>
      <c r="B219" s="110"/>
      <c r="C219" s="110"/>
      <c r="D219" s="110"/>
      <c r="E219" s="110"/>
      <c r="F219" s="110"/>
      <c r="G219" s="110"/>
      <c r="P219" s="102"/>
      <c r="Q219" s="102"/>
      <c r="R219" s="102"/>
    </row>
    <row r="220" spans="1:18">
      <c r="A220" s="110"/>
      <c r="B220" s="110"/>
      <c r="C220" s="110"/>
      <c r="D220" s="110"/>
      <c r="E220" s="110"/>
      <c r="F220" s="110"/>
      <c r="G220" s="110"/>
      <c r="P220" s="102"/>
      <c r="Q220" s="102"/>
      <c r="R220" s="102"/>
    </row>
    <row r="221" spans="1:18">
      <c r="A221" s="110"/>
      <c r="B221" s="110"/>
      <c r="C221" s="110"/>
      <c r="D221" s="110"/>
      <c r="E221" s="110"/>
      <c r="F221" s="110"/>
      <c r="G221" s="110"/>
      <c r="P221" s="102"/>
      <c r="Q221" s="102"/>
      <c r="R221" s="102"/>
    </row>
    <row r="222" spans="1:18">
      <c r="A222" s="110"/>
      <c r="B222" s="110"/>
      <c r="C222" s="110"/>
      <c r="D222" s="110"/>
      <c r="E222" s="110"/>
      <c r="F222" s="110"/>
      <c r="G222" s="110"/>
      <c r="P222" s="102"/>
      <c r="Q222" s="102"/>
      <c r="R222" s="102"/>
    </row>
    <row r="223" spans="1:18">
      <c r="A223" s="110"/>
      <c r="B223" s="110"/>
      <c r="C223" s="110"/>
      <c r="D223" s="110"/>
      <c r="E223" s="110"/>
      <c r="F223" s="110"/>
      <c r="G223" s="110"/>
      <c r="P223" s="102"/>
      <c r="Q223" s="102"/>
      <c r="R223" s="102"/>
    </row>
    <row r="224" spans="1:18">
      <c r="A224" s="110"/>
      <c r="B224" s="110"/>
      <c r="C224" s="110"/>
      <c r="D224" s="110"/>
      <c r="E224" s="110"/>
      <c r="F224" s="110"/>
      <c r="G224" s="110"/>
      <c r="P224" s="102"/>
      <c r="Q224" s="102"/>
      <c r="R224" s="102"/>
    </row>
    <row r="225" spans="1:18">
      <c r="A225" s="110"/>
      <c r="B225" s="110"/>
      <c r="C225" s="110"/>
      <c r="D225" s="110"/>
      <c r="E225" s="110"/>
      <c r="F225" s="110"/>
      <c r="G225" s="110"/>
      <c r="P225" s="102"/>
      <c r="Q225" s="102"/>
      <c r="R225" s="102"/>
    </row>
    <row r="226" spans="1:18">
      <c r="A226" s="110"/>
      <c r="B226" s="110"/>
      <c r="C226" s="110"/>
      <c r="D226" s="110"/>
      <c r="E226" s="110"/>
      <c r="F226" s="110"/>
      <c r="G226" s="110"/>
      <c r="P226" s="102"/>
      <c r="Q226" s="102"/>
      <c r="R226" s="102"/>
    </row>
    <row r="227" spans="1:18">
      <c r="A227" s="110"/>
      <c r="B227" s="110"/>
      <c r="C227" s="110"/>
      <c r="D227" s="110"/>
      <c r="E227" s="110"/>
      <c r="F227" s="110"/>
      <c r="G227" s="110"/>
      <c r="P227" s="102"/>
      <c r="Q227" s="102"/>
      <c r="R227" s="102"/>
    </row>
    <row r="228" spans="1:18">
      <c r="A228" s="110"/>
      <c r="B228" s="110"/>
      <c r="C228" s="110"/>
      <c r="D228" s="110"/>
      <c r="E228" s="110"/>
      <c r="F228" s="110"/>
      <c r="G228" s="110"/>
      <c r="P228" s="102"/>
      <c r="Q228" s="102"/>
      <c r="R228" s="102"/>
    </row>
    <row r="229" spans="1:18">
      <c r="A229" s="110"/>
      <c r="B229" s="110"/>
      <c r="C229" s="110"/>
      <c r="D229" s="110"/>
      <c r="E229" s="110"/>
      <c r="F229" s="110"/>
      <c r="G229" s="110"/>
      <c r="P229" s="102"/>
      <c r="Q229" s="102"/>
      <c r="R229" s="102"/>
    </row>
    <row r="230" spans="1:18">
      <c r="A230" s="110"/>
      <c r="B230" s="110"/>
      <c r="C230" s="110"/>
      <c r="D230" s="110"/>
      <c r="E230" s="110"/>
      <c r="F230" s="110"/>
      <c r="G230" s="110"/>
      <c r="P230" s="102"/>
      <c r="Q230" s="102"/>
      <c r="R230" s="102"/>
    </row>
    <row r="231" spans="1:18">
      <c r="A231" s="110"/>
      <c r="B231" s="110"/>
      <c r="C231" s="110"/>
      <c r="D231" s="110"/>
      <c r="E231" s="110"/>
      <c r="F231" s="110"/>
      <c r="G231" s="110"/>
      <c r="P231" s="102"/>
      <c r="Q231" s="102"/>
      <c r="R231" s="102"/>
    </row>
    <row r="232" spans="1:18">
      <c r="A232" s="110"/>
      <c r="B232" s="110"/>
      <c r="C232" s="110"/>
      <c r="D232" s="110"/>
      <c r="E232" s="110"/>
      <c r="F232" s="110"/>
      <c r="G232" s="110"/>
      <c r="P232" s="102"/>
      <c r="Q232" s="102"/>
      <c r="R232" s="102"/>
    </row>
    <row r="233" spans="1:18">
      <c r="A233" s="110"/>
      <c r="B233" s="110"/>
      <c r="C233" s="110"/>
      <c r="D233" s="110"/>
      <c r="E233" s="110"/>
      <c r="F233" s="110"/>
      <c r="G233" s="110"/>
      <c r="P233" s="102"/>
      <c r="Q233" s="102"/>
      <c r="R233" s="102"/>
    </row>
    <row r="234" spans="1:18">
      <c r="A234" s="110"/>
      <c r="B234" s="110"/>
      <c r="C234" s="110"/>
      <c r="D234" s="110"/>
      <c r="E234" s="110"/>
      <c r="F234" s="110"/>
      <c r="G234" s="110"/>
      <c r="P234" s="102"/>
      <c r="Q234" s="102"/>
      <c r="R234" s="102"/>
    </row>
    <row r="235" spans="1:18">
      <c r="A235" s="110"/>
      <c r="B235" s="110"/>
      <c r="C235" s="110"/>
      <c r="D235" s="110"/>
      <c r="E235" s="110"/>
      <c r="F235" s="110"/>
      <c r="G235" s="110"/>
      <c r="P235" s="102"/>
      <c r="Q235" s="102"/>
      <c r="R235" s="102"/>
    </row>
    <row r="236" spans="1:18">
      <c r="A236" s="110"/>
      <c r="B236" s="110"/>
      <c r="C236" s="110"/>
      <c r="D236" s="110"/>
      <c r="E236" s="110"/>
      <c r="F236" s="110"/>
      <c r="G236" s="110"/>
      <c r="P236" s="102"/>
      <c r="Q236" s="102"/>
      <c r="R236" s="102"/>
    </row>
    <row r="237" spans="1:18">
      <c r="A237" s="110"/>
      <c r="B237" s="110"/>
      <c r="C237" s="110"/>
      <c r="D237" s="110"/>
      <c r="E237" s="110"/>
      <c r="F237" s="110"/>
      <c r="G237" s="110"/>
      <c r="P237" s="102"/>
      <c r="Q237" s="102"/>
      <c r="R237" s="102"/>
    </row>
    <row r="238" spans="1:18">
      <c r="A238" s="110"/>
      <c r="B238" s="110"/>
      <c r="C238" s="110"/>
      <c r="D238" s="110"/>
      <c r="E238" s="110"/>
      <c r="F238" s="110"/>
      <c r="G238" s="110"/>
      <c r="P238" s="102"/>
      <c r="Q238" s="102"/>
      <c r="R238" s="102"/>
    </row>
    <row r="239" spans="1:18">
      <c r="A239" s="110"/>
      <c r="B239" s="110"/>
      <c r="C239" s="110"/>
      <c r="D239" s="110"/>
      <c r="E239" s="110"/>
      <c r="F239" s="110"/>
      <c r="G239" s="110"/>
      <c r="P239" s="102"/>
      <c r="Q239" s="102"/>
      <c r="R239" s="102"/>
    </row>
    <row r="240" spans="1:18">
      <c r="A240" s="110"/>
      <c r="B240" s="110"/>
      <c r="C240" s="110"/>
      <c r="D240" s="110"/>
      <c r="E240" s="110"/>
      <c r="F240" s="110"/>
      <c r="G240" s="110"/>
      <c r="P240" s="102"/>
      <c r="Q240" s="102"/>
      <c r="R240" s="102"/>
    </row>
    <row r="241" spans="1:18">
      <c r="A241" s="110"/>
      <c r="B241" s="110"/>
      <c r="C241" s="110"/>
      <c r="D241" s="110"/>
      <c r="E241" s="110"/>
      <c r="F241" s="110"/>
      <c r="G241" s="110"/>
      <c r="P241" s="102"/>
      <c r="Q241" s="102"/>
      <c r="R241" s="102"/>
    </row>
    <row r="242" spans="1:18">
      <c r="A242" s="110"/>
      <c r="B242" s="110"/>
      <c r="C242" s="110"/>
      <c r="D242" s="110"/>
      <c r="E242" s="110"/>
      <c r="F242" s="110"/>
      <c r="G242" s="110"/>
      <c r="P242" s="102"/>
      <c r="Q242" s="102"/>
      <c r="R242" s="102"/>
    </row>
    <row r="243" spans="1:18">
      <c r="A243" s="110"/>
      <c r="B243" s="110"/>
      <c r="C243" s="110"/>
      <c r="D243" s="110"/>
      <c r="E243" s="110"/>
      <c r="F243" s="110"/>
      <c r="G243" s="110"/>
      <c r="P243" s="102"/>
      <c r="Q243" s="102"/>
      <c r="R243" s="102"/>
    </row>
    <row r="244" spans="1:18">
      <c r="A244" s="110"/>
      <c r="B244" s="110"/>
      <c r="C244" s="110"/>
      <c r="D244" s="110"/>
      <c r="E244" s="110"/>
      <c r="F244" s="110"/>
      <c r="G244" s="110"/>
      <c r="P244" s="102"/>
      <c r="Q244" s="102"/>
      <c r="R244" s="102"/>
    </row>
    <row r="245" spans="1:18">
      <c r="A245" s="110"/>
      <c r="B245" s="110"/>
      <c r="C245" s="110"/>
      <c r="D245" s="110"/>
      <c r="E245" s="110"/>
      <c r="F245" s="110"/>
      <c r="G245" s="110"/>
      <c r="P245" s="102"/>
      <c r="Q245" s="102"/>
      <c r="R245" s="102"/>
    </row>
    <row r="246" spans="1:18">
      <c r="A246" s="110"/>
      <c r="B246" s="110"/>
      <c r="C246" s="110"/>
      <c r="D246" s="110"/>
      <c r="E246" s="110"/>
      <c r="F246" s="110"/>
      <c r="G246" s="110"/>
      <c r="P246" s="102"/>
      <c r="Q246" s="102"/>
      <c r="R246" s="102"/>
    </row>
    <row r="247" spans="1:18">
      <c r="A247" s="110"/>
      <c r="B247" s="110"/>
      <c r="C247" s="110"/>
      <c r="D247" s="110"/>
      <c r="E247" s="110"/>
      <c r="F247" s="110"/>
      <c r="G247" s="110"/>
      <c r="P247" s="102"/>
      <c r="Q247" s="102"/>
      <c r="R247" s="102"/>
    </row>
    <row r="248" spans="1:18">
      <c r="A248" s="110"/>
      <c r="B248" s="110"/>
      <c r="C248" s="110"/>
      <c r="D248" s="110"/>
      <c r="E248" s="110"/>
      <c r="F248" s="110"/>
      <c r="G248" s="110"/>
      <c r="P248" s="102"/>
      <c r="Q248" s="102"/>
      <c r="R248" s="102"/>
    </row>
    <row r="249" spans="1:18">
      <c r="A249" s="110"/>
      <c r="B249" s="110"/>
      <c r="C249" s="110"/>
      <c r="D249" s="110"/>
      <c r="E249" s="110"/>
      <c r="F249" s="110"/>
      <c r="G249" s="110"/>
      <c r="P249" s="102"/>
      <c r="Q249" s="102"/>
      <c r="R249" s="102"/>
    </row>
    <row r="250" spans="1:18">
      <c r="A250" s="110"/>
      <c r="B250" s="110"/>
      <c r="C250" s="110"/>
      <c r="D250" s="110"/>
      <c r="E250" s="110"/>
      <c r="F250" s="110"/>
      <c r="G250" s="110"/>
      <c r="P250" s="102"/>
      <c r="Q250" s="102"/>
      <c r="R250" s="102"/>
    </row>
    <row r="251" spans="1:18">
      <c r="A251" s="110"/>
      <c r="B251" s="110"/>
      <c r="C251" s="110"/>
      <c r="D251" s="110"/>
      <c r="E251" s="110"/>
      <c r="F251" s="110"/>
      <c r="G251" s="110"/>
      <c r="P251" s="102"/>
      <c r="Q251" s="102"/>
      <c r="R251" s="102"/>
    </row>
    <row r="252" spans="1:18">
      <c r="A252" s="110"/>
      <c r="B252" s="110"/>
      <c r="C252" s="110"/>
      <c r="D252" s="110"/>
      <c r="E252" s="110"/>
      <c r="F252" s="110"/>
      <c r="G252" s="110"/>
      <c r="P252" s="102"/>
      <c r="Q252" s="102"/>
      <c r="R252" s="102"/>
    </row>
    <row r="253" spans="1:18">
      <c r="A253" s="110"/>
      <c r="B253" s="110"/>
      <c r="C253" s="110"/>
      <c r="D253" s="110"/>
      <c r="E253" s="110"/>
      <c r="F253" s="110"/>
      <c r="G253" s="110"/>
      <c r="P253" s="102"/>
      <c r="Q253" s="102"/>
      <c r="R253" s="102"/>
    </row>
    <row r="254" spans="1:18">
      <c r="A254" s="110"/>
      <c r="B254" s="110"/>
      <c r="C254" s="110"/>
      <c r="D254" s="110"/>
      <c r="E254" s="110"/>
      <c r="F254" s="110"/>
      <c r="G254" s="110"/>
      <c r="P254" s="102"/>
      <c r="Q254" s="102"/>
      <c r="R254" s="102"/>
    </row>
    <row r="255" spans="1:18">
      <c r="A255" s="110"/>
      <c r="B255" s="110"/>
      <c r="C255" s="110"/>
      <c r="D255" s="110"/>
      <c r="E255" s="110"/>
      <c r="F255" s="110"/>
      <c r="G255" s="110"/>
      <c r="P255" s="102"/>
      <c r="Q255" s="102"/>
      <c r="R255" s="102"/>
    </row>
    <row r="256" spans="1:18">
      <c r="A256" s="110"/>
      <c r="B256" s="110"/>
      <c r="C256" s="110"/>
      <c r="D256" s="110"/>
      <c r="E256" s="110"/>
      <c r="F256" s="110"/>
      <c r="G256" s="110"/>
      <c r="P256" s="102"/>
      <c r="Q256" s="102"/>
      <c r="R256" s="102"/>
    </row>
    <row r="257" spans="1:18">
      <c r="A257" s="110"/>
      <c r="B257" s="110"/>
      <c r="C257" s="110"/>
      <c r="D257" s="110"/>
      <c r="E257" s="110"/>
      <c r="F257" s="110"/>
      <c r="G257" s="110"/>
      <c r="P257" s="102"/>
      <c r="Q257" s="102"/>
      <c r="R257" s="102"/>
    </row>
    <row r="258" spans="1:18">
      <c r="A258" s="110"/>
      <c r="B258" s="110"/>
      <c r="C258" s="110"/>
      <c r="D258" s="110"/>
      <c r="E258" s="110"/>
      <c r="F258" s="110"/>
      <c r="G258" s="110"/>
      <c r="P258" s="102"/>
      <c r="Q258" s="102"/>
      <c r="R258" s="102"/>
    </row>
    <row r="259" spans="1:18">
      <c r="A259" s="110"/>
      <c r="B259" s="110"/>
      <c r="C259" s="110"/>
      <c r="D259" s="110"/>
      <c r="E259" s="110"/>
      <c r="F259" s="110"/>
      <c r="G259" s="110"/>
      <c r="P259" s="102"/>
      <c r="Q259" s="102"/>
      <c r="R259" s="102"/>
    </row>
    <row r="260" spans="1:18">
      <c r="A260" s="110"/>
      <c r="B260" s="110"/>
      <c r="C260" s="110"/>
      <c r="D260" s="110"/>
      <c r="E260" s="110"/>
      <c r="F260" s="110"/>
      <c r="G260" s="110"/>
      <c r="P260" s="102"/>
      <c r="Q260" s="102"/>
      <c r="R260" s="102"/>
    </row>
    <row r="261" spans="1:18">
      <c r="A261" s="110"/>
      <c r="B261" s="110"/>
      <c r="C261" s="110"/>
      <c r="D261" s="110"/>
      <c r="E261" s="110"/>
      <c r="F261" s="110"/>
      <c r="G261" s="110"/>
      <c r="P261" s="102"/>
      <c r="Q261" s="102"/>
      <c r="R261" s="102"/>
    </row>
    <row r="262" spans="1:18">
      <c r="A262" s="110"/>
      <c r="B262" s="110"/>
      <c r="C262" s="110"/>
      <c r="D262" s="110"/>
      <c r="E262" s="110"/>
      <c r="F262" s="110"/>
      <c r="G262" s="110"/>
      <c r="P262" s="102"/>
      <c r="Q262" s="102"/>
      <c r="R262" s="102"/>
    </row>
    <row r="263" spans="1:18">
      <c r="A263" s="110"/>
      <c r="B263" s="110"/>
      <c r="C263" s="110"/>
      <c r="D263" s="110"/>
      <c r="E263" s="110"/>
      <c r="F263" s="110"/>
      <c r="G263" s="110"/>
      <c r="P263" s="102"/>
      <c r="Q263" s="102"/>
      <c r="R263" s="102"/>
    </row>
    <row r="264" spans="1:18">
      <c r="A264" s="110"/>
      <c r="B264" s="110"/>
      <c r="C264" s="110"/>
      <c r="D264" s="110"/>
      <c r="E264" s="110"/>
      <c r="F264" s="110"/>
      <c r="G264" s="110"/>
      <c r="P264" s="102"/>
      <c r="Q264" s="102"/>
      <c r="R264" s="102"/>
    </row>
    <row r="265" spans="1:18">
      <c r="A265" s="110"/>
      <c r="B265" s="110"/>
      <c r="C265" s="110"/>
      <c r="D265" s="110"/>
      <c r="E265" s="110"/>
      <c r="F265" s="110"/>
      <c r="G265" s="110"/>
      <c r="P265" s="102"/>
      <c r="Q265" s="102"/>
      <c r="R265" s="102"/>
    </row>
    <row r="266" spans="1:18">
      <c r="A266" s="110"/>
      <c r="B266" s="110"/>
      <c r="C266" s="110"/>
      <c r="D266" s="110"/>
      <c r="E266" s="110"/>
      <c r="F266" s="110"/>
      <c r="G266" s="110"/>
      <c r="P266" s="102"/>
      <c r="Q266" s="102"/>
      <c r="R266" s="102"/>
    </row>
    <row r="267" spans="1:18">
      <c r="A267" s="110"/>
      <c r="B267" s="110"/>
      <c r="C267" s="110"/>
      <c r="D267" s="110"/>
      <c r="E267" s="110"/>
      <c r="F267" s="110"/>
      <c r="G267" s="110"/>
      <c r="P267" s="102"/>
      <c r="Q267" s="102"/>
      <c r="R267" s="102"/>
    </row>
    <row r="268" spans="1:18">
      <c r="A268" s="110"/>
      <c r="B268" s="110"/>
      <c r="C268" s="110"/>
      <c r="D268" s="110"/>
      <c r="E268" s="110"/>
      <c r="F268" s="110"/>
      <c r="G268" s="110"/>
      <c r="P268" s="102"/>
      <c r="Q268" s="102"/>
      <c r="R268" s="102"/>
    </row>
    <row r="269" spans="1:18">
      <c r="A269" s="110"/>
      <c r="B269" s="110"/>
      <c r="C269" s="110"/>
      <c r="D269" s="110"/>
      <c r="E269" s="110"/>
      <c r="F269" s="110"/>
      <c r="G269" s="110"/>
      <c r="P269" s="102"/>
      <c r="Q269" s="102"/>
      <c r="R269" s="102"/>
    </row>
    <row r="270" spans="1:18">
      <c r="A270" s="110"/>
      <c r="B270" s="110"/>
      <c r="C270" s="110"/>
      <c r="D270" s="110"/>
      <c r="E270" s="110"/>
      <c r="F270" s="110"/>
      <c r="G270" s="110"/>
      <c r="P270" s="102"/>
      <c r="Q270" s="102"/>
      <c r="R270" s="102"/>
    </row>
    <row r="271" spans="1:18">
      <c r="A271" s="110"/>
      <c r="B271" s="110"/>
      <c r="C271" s="110"/>
      <c r="D271" s="110"/>
      <c r="E271" s="110"/>
      <c r="F271" s="110"/>
      <c r="G271" s="110"/>
      <c r="P271" s="102"/>
      <c r="Q271" s="102"/>
      <c r="R271" s="102"/>
    </row>
    <row r="272" spans="1:18">
      <c r="A272" s="110"/>
      <c r="B272" s="110"/>
      <c r="C272" s="110"/>
      <c r="D272" s="110"/>
      <c r="E272" s="110"/>
      <c r="F272" s="110"/>
      <c r="G272" s="110"/>
      <c r="P272" s="102"/>
      <c r="Q272" s="102"/>
      <c r="R272" s="102"/>
    </row>
    <row r="273" spans="1:18">
      <c r="A273" s="110"/>
      <c r="B273" s="110"/>
      <c r="C273" s="110"/>
      <c r="D273" s="110"/>
      <c r="E273" s="110"/>
      <c r="F273" s="110"/>
      <c r="G273" s="110"/>
      <c r="P273" s="102"/>
      <c r="Q273" s="102"/>
      <c r="R273" s="102"/>
    </row>
    <row r="274" spans="1:18">
      <c r="A274" s="110"/>
      <c r="B274" s="110"/>
      <c r="C274" s="110"/>
      <c r="D274" s="110"/>
      <c r="E274" s="110"/>
      <c r="F274" s="110"/>
      <c r="G274" s="110"/>
      <c r="P274" s="102"/>
      <c r="Q274" s="102"/>
      <c r="R274" s="102"/>
    </row>
    <row r="275" spans="1:18">
      <c r="A275" s="110"/>
      <c r="B275" s="110"/>
      <c r="C275" s="110"/>
      <c r="D275" s="110"/>
      <c r="E275" s="110"/>
      <c r="F275" s="110"/>
      <c r="G275" s="110"/>
      <c r="P275" s="102"/>
      <c r="Q275" s="102"/>
      <c r="R275" s="102"/>
    </row>
    <row r="276" spans="1:18">
      <c r="A276" s="110"/>
      <c r="B276" s="110"/>
      <c r="C276" s="110"/>
      <c r="D276" s="110"/>
      <c r="E276" s="110"/>
      <c r="F276" s="110"/>
      <c r="G276" s="110"/>
      <c r="P276" s="102"/>
      <c r="Q276" s="102"/>
      <c r="R276" s="102"/>
    </row>
    <row r="277" spans="1:18">
      <c r="A277" s="110"/>
      <c r="B277" s="110"/>
      <c r="C277" s="110"/>
      <c r="D277" s="110"/>
      <c r="E277" s="110"/>
      <c r="F277" s="110"/>
      <c r="G277" s="110"/>
      <c r="P277" s="102"/>
      <c r="Q277" s="102"/>
      <c r="R277" s="102"/>
    </row>
    <row r="278" spans="1:18">
      <c r="A278" s="110"/>
      <c r="B278" s="110"/>
      <c r="C278" s="110"/>
      <c r="D278" s="110"/>
      <c r="E278" s="110"/>
      <c r="F278" s="110"/>
      <c r="G278" s="110"/>
      <c r="P278" s="102"/>
      <c r="Q278" s="102"/>
      <c r="R278" s="102"/>
    </row>
    <row r="279" spans="1:18">
      <c r="A279" s="110"/>
      <c r="B279" s="110"/>
      <c r="C279" s="110"/>
      <c r="D279" s="110"/>
      <c r="E279" s="110"/>
      <c r="F279" s="110"/>
      <c r="G279" s="110"/>
      <c r="P279" s="102"/>
      <c r="Q279" s="102"/>
      <c r="R279" s="102"/>
    </row>
    <row r="280" spans="1:18">
      <c r="A280" s="110"/>
      <c r="B280" s="110"/>
      <c r="C280" s="110"/>
      <c r="D280" s="110"/>
      <c r="E280" s="110"/>
      <c r="F280" s="110"/>
      <c r="G280" s="110"/>
      <c r="P280" s="102"/>
      <c r="Q280" s="102"/>
      <c r="R280" s="102"/>
    </row>
    <row r="281" spans="1:18">
      <c r="A281" s="110"/>
      <c r="B281" s="110"/>
      <c r="C281" s="110"/>
      <c r="D281" s="110"/>
      <c r="E281" s="110"/>
      <c r="F281" s="110"/>
      <c r="G281" s="110"/>
      <c r="P281" s="102"/>
      <c r="Q281" s="102"/>
      <c r="R281" s="102"/>
    </row>
    <row r="282" spans="1:18">
      <c r="A282" s="110"/>
      <c r="B282" s="110"/>
      <c r="C282" s="110"/>
      <c r="D282" s="110"/>
      <c r="E282" s="110"/>
      <c r="F282" s="110"/>
      <c r="G282" s="110"/>
      <c r="P282" s="102"/>
      <c r="Q282" s="102"/>
      <c r="R282" s="102"/>
    </row>
    <row r="283" spans="1:18">
      <c r="A283" s="110"/>
      <c r="B283" s="110"/>
      <c r="C283" s="110"/>
      <c r="D283" s="110"/>
      <c r="E283" s="110"/>
      <c r="F283" s="110"/>
      <c r="G283" s="110"/>
      <c r="P283" s="102"/>
      <c r="Q283" s="102"/>
      <c r="R283" s="102"/>
    </row>
    <row r="284" spans="1:18">
      <c r="A284" s="110"/>
      <c r="B284" s="110"/>
      <c r="C284" s="110"/>
      <c r="D284" s="110"/>
      <c r="E284" s="110"/>
      <c r="F284" s="110"/>
      <c r="G284" s="110"/>
      <c r="P284" s="102"/>
      <c r="Q284" s="102"/>
      <c r="R284" s="102"/>
    </row>
    <row r="285" spans="1:18">
      <c r="A285" s="110"/>
      <c r="B285" s="110"/>
      <c r="C285" s="110"/>
      <c r="D285" s="110"/>
      <c r="E285" s="110"/>
      <c r="F285" s="110"/>
      <c r="G285" s="110"/>
      <c r="P285" s="102"/>
      <c r="Q285" s="102"/>
      <c r="R285" s="102"/>
    </row>
    <row r="286" spans="1:18">
      <c r="A286" s="110"/>
      <c r="B286" s="110"/>
      <c r="C286" s="110"/>
      <c r="D286" s="110"/>
      <c r="E286" s="110"/>
      <c r="F286" s="110"/>
      <c r="G286" s="110"/>
      <c r="P286" s="102"/>
      <c r="Q286" s="102"/>
      <c r="R286" s="102"/>
    </row>
    <row r="287" spans="1:18">
      <c r="A287" s="110"/>
      <c r="B287" s="110"/>
      <c r="C287" s="110"/>
      <c r="D287" s="110"/>
      <c r="E287" s="110"/>
      <c r="F287" s="110"/>
      <c r="G287" s="110"/>
      <c r="P287" s="102"/>
      <c r="Q287" s="102"/>
      <c r="R287" s="102"/>
    </row>
    <row r="288" spans="1:18">
      <c r="A288" s="110"/>
      <c r="B288" s="110"/>
      <c r="C288" s="110"/>
      <c r="D288" s="110"/>
      <c r="E288" s="110"/>
      <c r="F288" s="110"/>
      <c r="G288" s="110"/>
      <c r="P288" s="102"/>
      <c r="Q288" s="102"/>
      <c r="R288" s="102"/>
    </row>
    <row r="289" spans="1:18">
      <c r="A289" s="110"/>
      <c r="B289" s="110"/>
      <c r="C289" s="110"/>
      <c r="D289" s="110"/>
      <c r="E289" s="110"/>
      <c r="F289" s="110"/>
      <c r="G289" s="110"/>
      <c r="P289" s="102"/>
      <c r="Q289" s="102"/>
      <c r="R289" s="102"/>
    </row>
    <row r="290" spans="1:18">
      <c r="A290" s="110"/>
      <c r="B290" s="110"/>
      <c r="C290" s="110"/>
      <c r="D290" s="110"/>
      <c r="E290" s="110"/>
      <c r="F290" s="110"/>
      <c r="G290" s="110"/>
      <c r="P290" s="102"/>
      <c r="Q290" s="102"/>
      <c r="R290" s="102"/>
    </row>
    <row r="291" spans="1:18">
      <c r="A291" s="110"/>
      <c r="B291" s="110"/>
      <c r="C291" s="110"/>
      <c r="D291" s="110"/>
      <c r="E291" s="110"/>
      <c r="F291" s="110"/>
      <c r="G291" s="110"/>
      <c r="P291" s="102"/>
      <c r="Q291" s="102"/>
      <c r="R291" s="102"/>
    </row>
    <row r="292" spans="1:18">
      <c r="A292" s="110"/>
      <c r="B292" s="110"/>
      <c r="C292" s="110"/>
      <c r="D292" s="110"/>
      <c r="E292" s="110"/>
      <c r="F292" s="110"/>
      <c r="G292" s="110"/>
      <c r="P292" s="102"/>
      <c r="Q292" s="102"/>
      <c r="R292" s="102"/>
    </row>
    <row r="293" spans="1:18">
      <c r="A293" s="110"/>
      <c r="B293" s="110"/>
      <c r="C293" s="110"/>
      <c r="D293" s="110"/>
      <c r="E293" s="110"/>
      <c r="F293" s="110"/>
      <c r="G293" s="110"/>
      <c r="P293" s="102"/>
      <c r="Q293" s="102"/>
      <c r="R293" s="102"/>
    </row>
    <row r="294" spans="1:18">
      <c r="A294" s="110"/>
      <c r="B294" s="110"/>
      <c r="C294" s="110"/>
      <c r="D294" s="110"/>
      <c r="E294" s="110"/>
      <c r="F294" s="110"/>
      <c r="G294" s="110"/>
      <c r="P294" s="102"/>
      <c r="Q294" s="102"/>
      <c r="R294" s="102"/>
    </row>
    <row r="295" spans="1:18">
      <c r="A295" s="110"/>
      <c r="B295" s="110"/>
      <c r="C295" s="110"/>
      <c r="D295" s="110"/>
      <c r="E295" s="110"/>
      <c r="F295" s="110"/>
      <c r="G295" s="110"/>
      <c r="P295" s="102"/>
      <c r="Q295" s="102"/>
      <c r="R295" s="102"/>
    </row>
    <row r="296" spans="1:18">
      <c r="A296" s="110"/>
      <c r="B296" s="110"/>
      <c r="C296" s="110"/>
      <c r="D296" s="110"/>
      <c r="E296" s="110"/>
      <c r="F296" s="110"/>
      <c r="G296" s="110"/>
      <c r="P296" s="102"/>
      <c r="Q296" s="102"/>
      <c r="R296" s="102"/>
    </row>
    <row r="297" spans="1:18">
      <c r="A297" s="110"/>
      <c r="B297" s="110"/>
      <c r="C297" s="110"/>
      <c r="D297" s="110"/>
      <c r="E297" s="110"/>
      <c r="F297" s="110"/>
      <c r="G297" s="110"/>
      <c r="P297" s="102"/>
      <c r="Q297" s="102"/>
      <c r="R297" s="102"/>
    </row>
    <row r="298" spans="1:18">
      <c r="A298" s="110"/>
      <c r="B298" s="110"/>
      <c r="C298" s="110"/>
      <c r="D298" s="110"/>
      <c r="E298" s="110"/>
      <c r="F298" s="110"/>
      <c r="G298" s="110"/>
      <c r="P298" s="102"/>
      <c r="Q298" s="102"/>
      <c r="R298" s="102"/>
    </row>
    <row r="299" spans="1:18">
      <c r="A299" s="110"/>
      <c r="B299" s="110"/>
      <c r="C299" s="110"/>
      <c r="D299" s="110"/>
      <c r="E299" s="110"/>
      <c r="F299" s="110"/>
      <c r="G299" s="110"/>
      <c r="P299" s="102"/>
      <c r="Q299" s="102"/>
      <c r="R299" s="102"/>
    </row>
    <row r="300" spans="1:18">
      <c r="A300" s="110"/>
      <c r="B300" s="110"/>
      <c r="C300" s="110"/>
      <c r="D300" s="110"/>
      <c r="E300" s="110"/>
      <c r="F300" s="110"/>
      <c r="G300" s="110"/>
      <c r="P300" s="102"/>
      <c r="Q300" s="102"/>
      <c r="R300" s="102"/>
    </row>
    <row r="301" spans="1:18">
      <c r="A301" s="110"/>
      <c r="B301" s="110"/>
      <c r="C301" s="110"/>
      <c r="D301" s="110"/>
      <c r="E301" s="110"/>
      <c r="F301" s="110"/>
      <c r="G301" s="110"/>
      <c r="P301" s="102"/>
      <c r="Q301" s="102"/>
      <c r="R301" s="102"/>
    </row>
    <row r="302" spans="1:18">
      <c r="A302" s="110"/>
      <c r="B302" s="110"/>
      <c r="C302" s="110"/>
      <c r="D302" s="110"/>
      <c r="E302" s="110"/>
      <c r="F302" s="110"/>
      <c r="G302" s="110"/>
      <c r="P302" s="102"/>
      <c r="Q302" s="102"/>
      <c r="R302" s="102"/>
    </row>
    <row r="303" spans="1:18">
      <c r="A303" s="110"/>
      <c r="B303" s="110"/>
      <c r="C303" s="110"/>
      <c r="D303" s="110"/>
      <c r="E303" s="110"/>
      <c r="F303" s="110"/>
      <c r="G303" s="110"/>
      <c r="P303" s="102"/>
      <c r="Q303" s="102"/>
      <c r="R303" s="102"/>
    </row>
    <row r="304" spans="1:18">
      <c r="A304" s="110"/>
      <c r="B304" s="110"/>
      <c r="C304" s="110"/>
      <c r="D304" s="110"/>
      <c r="E304" s="110"/>
      <c r="F304" s="110"/>
      <c r="G304" s="110"/>
      <c r="P304" s="102"/>
      <c r="Q304" s="102"/>
      <c r="R304" s="102"/>
    </row>
    <row r="305" spans="1:18">
      <c r="A305" s="110"/>
      <c r="B305" s="110"/>
      <c r="C305" s="110"/>
      <c r="D305" s="110"/>
      <c r="E305" s="110"/>
      <c r="F305" s="110"/>
      <c r="G305" s="110"/>
      <c r="P305" s="102"/>
      <c r="Q305" s="102"/>
      <c r="R305" s="102"/>
    </row>
    <row r="306" spans="1:18">
      <c r="A306" s="110"/>
      <c r="B306" s="110"/>
      <c r="C306" s="110"/>
      <c r="D306" s="110"/>
      <c r="E306" s="110"/>
      <c r="F306" s="110"/>
      <c r="G306" s="110"/>
      <c r="P306" s="102"/>
      <c r="Q306" s="102"/>
      <c r="R306" s="102"/>
    </row>
    <row r="307" spans="1:18">
      <c r="A307" s="110"/>
      <c r="B307" s="110"/>
      <c r="C307" s="110"/>
      <c r="D307" s="110"/>
      <c r="E307" s="110"/>
      <c r="F307" s="110"/>
      <c r="G307" s="110"/>
      <c r="P307" s="102"/>
      <c r="Q307" s="102"/>
      <c r="R307" s="102"/>
    </row>
    <row r="308" spans="1:18">
      <c r="A308" s="110"/>
      <c r="B308" s="110"/>
      <c r="C308" s="110"/>
      <c r="D308" s="110"/>
      <c r="E308" s="110"/>
      <c r="F308" s="110"/>
      <c r="G308" s="110"/>
      <c r="P308" s="102"/>
      <c r="Q308" s="102"/>
      <c r="R308" s="102"/>
    </row>
    <row r="309" spans="1:18">
      <c r="A309" s="110"/>
      <c r="B309" s="110"/>
      <c r="C309" s="110"/>
      <c r="D309" s="110"/>
      <c r="E309" s="110"/>
      <c r="F309" s="110"/>
      <c r="G309" s="110"/>
      <c r="P309" s="102"/>
      <c r="Q309" s="102"/>
      <c r="R309" s="102"/>
    </row>
    <row r="310" spans="1:18">
      <c r="A310" s="110"/>
      <c r="B310" s="110"/>
      <c r="C310" s="110"/>
      <c r="D310" s="110"/>
      <c r="E310" s="110"/>
      <c r="F310" s="110"/>
      <c r="G310" s="110"/>
      <c r="P310" s="102"/>
      <c r="Q310" s="102"/>
      <c r="R310" s="102"/>
    </row>
    <row r="311" spans="1:18">
      <c r="A311" s="110"/>
      <c r="B311" s="110"/>
      <c r="C311" s="110"/>
      <c r="D311" s="110"/>
      <c r="E311" s="110"/>
      <c r="F311" s="110"/>
      <c r="G311" s="110"/>
      <c r="P311" s="102"/>
      <c r="Q311" s="102"/>
      <c r="R311" s="102"/>
    </row>
    <row r="312" spans="1:18">
      <c r="A312" s="110"/>
      <c r="B312" s="110"/>
      <c r="C312" s="110"/>
      <c r="D312" s="110"/>
      <c r="E312" s="110"/>
      <c r="F312" s="110"/>
      <c r="G312" s="110"/>
      <c r="P312" s="102"/>
      <c r="Q312" s="102"/>
      <c r="R312" s="102"/>
    </row>
    <row r="313" spans="1:18">
      <c r="A313" s="110"/>
      <c r="B313" s="110"/>
      <c r="C313" s="110"/>
      <c r="D313" s="110"/>
      <c r="E313" s="110"/>
      <c r="F313" s="110"/>
      <c r="G313" s="110"/>
      <c r="P313" s="102"/>
      <c r="Q313" s="102"/>
      <c r="R313" s="102"/>
    </row>
    <row r="314" spans="1:18">
      <c r="A314" s="110"/>
      <c r="B314" s="110"/>
      <c r="C314" s="110"/>
      <c r="D314" s="110"/>
      <c r="E314" s="110"/>
      <c r="F314" s="110"/>
      <c r="G314" s="110"/>
      <c r="P314" s="102"/>
      <c r="Q314" s="102"/>
      <c r="R314" s="102"/>
    </row>
    <row r="315" spans="1:18">
      <c r="A315" s="110"/>
      <c r="B315" s="110"/>
      <c r="C315" s="110"/>
      <c r="D315" s="110"/>
      <c r="E315" s="110"/>
      <c r="F315" s="110"/>
      <c r="G315" s="110"/>
      <c r="P315" s="102"/>
      <c r="Q315" s="102"/>
      <c r="R315" s="102"/>
    </row>
    <row r="316" spans="1:18">
      <c r="A316" s="110"/>
      <c r="B316" s="110"/>
      <c r="C316" s="110"/>
      <c r="D316" s="110"/>
      <c r="E316" s="110"/>
      <c r="F316" s="110"/>
      <c r="G316" s="110"/>
      <c r="P316" s="102"/>
      <c r="Q316" s="102"/>
      <c r="R316" s="102"/>
    </row>
    <row r="317" spans="1:18">
      <c r="A317" s="110"/>
      <c r="B317" s="110"/>
      <c r="C317" s="110"/>
      <c r="D317" s="110"/>
      <c r="E317" s="110"/>
      <c r="F317" s="110"/>
      <c r="G317" s="110"/>
      <c r="P317" s="102"/>
      <c r="Q317" s="102"/>
      <c r="R317" s="102"/>
    </row>
    <row r="318" spans="1:18">
      <c r="A318" s="110"/>
      <c r="B318" s="110"/>
      <c r="C318" s="110"/>
      <c r="D318" s="110"/>
      <c r="E318" s="110"/>
      <c r="F318" s="110"/>
      <c r="G318" s="110"/>
      <c r="P318" s="102"/>
      <c r="Q318" s="102"/>
      <c r="R318" s="102"/>
    </row>
    <row r="319" spans="1:18">
      <c r="A319" s="110"/>
      <c r="B319" s="110"/>
      <c r="C319" s="110"/>
      <c r="D319" s="110"/>
      <c r="E319" s="110"/>
      <c r="F319" s="110"/>
      <c r="G319" s="110"/>
      <c r="P319" s="102"/>
      <c r="Q319" s="102"/>
      <c r="R319" s="102"/>
    </row>
    <row r="320" spans="1:18">
      <c r="A320" s="110"/>
      <c r="B320" s="110"/>
      <c r="C320" s="110"/>
      <c r="D320" s="110"/>
      <c r="E320" s="110"/>
      <c r="F320" s="110"/>
      <c r="G320" s="110"/>
      <c r="P320" s="102"/>
      <c r="Q320" s="102"/>
      <c r="R320" s="102"/>
    </row>
    <row r="321" spans="1:18">
      <c r="A321" s="110"/>
      <c r="B321" s="110"/>
      <c r="C321" s="110"/>
      <c r="D321" s="110"/>
      <c r="E321" s="110"/>
      <c r="F321" s="110"/>
      <c r="G321" s="110"/>
      <c r="P321" s="102"/>
      <c r="Q321" s="102"/>
      <c r="R321" s="102"/>
    </row>
    <row r="322" spans="1:18">
      <c r="A322" s="110"/>
      <c r="B322" s="110"/>
      <c r="C322" s="110"/>
      <c r="D322" s="110"/>
      <c r="E322" s="110"/>
      <c r="F322" s="110"/>
      <c r="G322" s="110"/>
      <c r="P322" s="102"/>
      <c r="Q322" s="102"/>
      <c r="R322" s="102"/>
    </row>
    <row r="323" spans="1:18">
      <c r="A323" s="110"/>
      <c r="B323" s="110"/>
      <c r="C323" s="110"/>
      <c r="D323" s="110"/>
      <c r="E323" s="110"/>
      <c r="F323" s="110"/>
      <c r="G323" s="110"/>
      <c r="P323" s="102"/>
      <c r="Q323" s="102"/>
      <c r="R323" s="102"/>
    </row>
    <row r="324" spans="1:18">
      <c r="A324" s="110"/>
      <c r="B324" s="110"/>
      <c r="C324" s="110"/>
      <c r="D324" s="110"/>
      <c r="E324" s="110"/>
      <c r="F324" s="110"/>
      <c r="G324" s="110"/>
      <c r="P324" s="102"/>
      <c r="Q324" s="102"/>
      <c r="R324" s="102"/>
    </row>
    <row r="325" spans="1:18">
      <c r="A325" s="110"/>
      <c r="B325" s="110"/>
      <c r="C325" s="110"/>
      <c r="D325" s="110"/>
      <c r="E325" s="110"/>
      <c r="F325" s="110"/>
      <c r="G325" s="110"/>
      <c r="P325" s="102"/>
      <c r="Q325" s="102"/>
      <c r="R325" s="102"/>
    </row>
    <row r="326" spans="1:18">
      <c r="A326" s="110"/>
      <c r="B326" s="110"/>
      <c r="C326" s="110"/>
      <c r="D326" s="110"/>
      <c r="E326" s="110"/>
      <c r="F326" s="110"/>
      <c r="G326" s="110"/>
      <c r="P326" s="102"/>
      <c r="Q326" s="102"/>
      <c r="R326" s="102"/>
    </row>
    <row r="327" spans="1:18">
      <c r="A327" s="110"/>
      <c r="B327" s="110"/>
      <c r="C327" s="110"/>
      <c r="D327" s="110"/>
      <c r="E327" s="110"/>
      <c r="F327" s="110"/>
      <c r="G327" s="110"/>
      <c r="P327" s="102"/>
      <c r="Q327" s="102"/>
      <c r="R327" s="102"/>
    </row>
    <row r="328" spans="1:18">
      <c r="A328" s="110"/>
      <c r="B328" s="110"/>
      <c r="C328" s="110"/>
      <c r="D328" s="110"/>
      <c r="E328" s="110"/>
      <c r="F328" s="110"/>
      <c r="G328" s="110"/>
      <c r="P328" s="102"/>
      <c r="Q328" s="102"/>
      <c r="R328" s="102"/>
    </row>
    <row r="329" spans="1:18">
      <c r="A329" s="110"/>
      <c r="B329" s="110"/>
      <c r="C329" s="110"/>
      <c r="D329" s="110"/>
      <c r="E329" s="110"/>
      <c r="F329" s="110"/>
      <c r="G329" s="110"/>
      <c r="P329" s="102"/>
      <c r="Q329" s="102"/>
      <c r="R329" s="102"/>
    </row>
    <row r="330" spans="1:18">
      <c r="A330" s="110"/>
      <c r="B330" s="110"/>
      <c r="C330" s="110"/>
      <c r="D330" s="110"/>
      <c r="E330" s="110"/>
      <c r="F330" s="110"/>
      <c r="G330" s="110"/>
      <c r="P330" s="102"/>
      <c r="Q330" s="102"/>
      <c r="R330" s="102"/>
    </row>
    <row r="331" spans="1:18">
      <c r="A331" s="110"/>
      <c r="B331" s="110"/>
      <c r="C331" s="110"/>
      <c r="D331" s="110"/>
      <c r="E331" s="110"/>
      <c r="F331" s="110"/>
      <c r="G331" s="110"/>
      <c r="P331" s="102"/>
      <c r="Q331" s="102"/>
      <c r="R331" s="102"/>
    </row>
    <row r="332" spans="1:18">
      <c r="A332" s="110"/>
      <c r="B332" s="110"/>
      <c r="C332" s="110"/>
      <c r="D332" s="110"/>
      <c r="E332" s="110"/>
      <c r="F332" s="110"/>
      <c r="G332" s="110"/>
      <c r="P332" s="102"/>
      <c r="Q332" s="102"/>
      <c r="R332" s="102"/>
    </row>
    <row r="333" spans="1:18">
      <c r="A333" s="110"/>
      <c r="B333" s="110"/>
      <c r="C333" s="110"/>
      <c r="D333" s="110"/>
      <c r="E333" s="110"/>
      <c r="F333" s="110"/>
      <c r="G333" s="110"/>
      <c r="P333" s="102"/>
      <c r="Q333" s="102"/>
      <c r="R333" s="102"/>
    </row>
    <row r="334" spans="1:18">
      <c r="A334" s="110"/>
      <c r="B334" s="110"/>
      <c r="C334" s="110"/>
      <c r="D334" s="110"/>
      <c r="E334" s="110"/>
      <c r="F334" s="110"/>
      <c r="G334" s="110"/>
      <c r="P334" s="102"/>
      <c r="Q334" s="102"/>
      <c r="R334" s="102"/>
    </row>
    <row r="335" spans="1:18">
      <c r="A335" s="110"/>
      <c r="B335" s="110"/>
      <c r="C335" s="110"/>
      <c r="D335" s="110"/>
      <c r="E335" s="110"/>
      <c r="F335" s="110"/>
      <c r="G335" s="110"/>
      <c r="P335" s="102"/>
      <c r="Q335" s="102"/>
      <c r="R335" s="102"/>
    </row>
    <row r="336" spans="1:18">
      <c r="A336" s="110"/>
      <c r="B336" s="110"/>
      <c r="C336" s="110"/>
      <c r="D336" s="110"/>
      <c r="E336" s="110"/>
      <c r="F336" s="110"/>
      <c r="G336" s="110"/>
      <c r="P336" s="102"/>
      <c r="Q336" s="102"/>
      <c r="R336" s="102"/>
    </row>
    <row r="337" spans="1:18">
      <c r="A337" s="110"/>
      <c r="B337" s="110"/>
      <c r="C337" s="110"/>
      <c r="D337" s="110"/>
      <c r="E337" s="110"/>
      <c r="F337" s="110"/>
      <c r="G337" s="110"/>
      <c r="P337" s="102"/>
      <c r="Q337" s="102"/>
      <c r="R337" s="102"/>
    </row>
    <row r="338" spans="1:18">
      <c r="A338" s="110"/>
      <c r="B338" s="110"/>
      <c r="C338" s="110"/>
      <c r="D338" s="110"/>
      <c r="E338" s="110"/>
      <c r="F338" s="110"/>
      <c r="G338" s="110"/>
      <c r="P338" s="102"/>
      <c r="Q338" s="102"/>
      <c r="R338" s="102"/>
    </row>
    <row r="339" spans="1:18">
      <c r="A339" s="110"/>
      <c r="B339" s="110"/>
      <c r="C339" s="110"/>
      <c r="D339" s="110"/>
      <c r="E339" s="110"/>
      <c r="F339" s="110"/>
      <c r="G339" s="110"/>
      <c r="P339" s="102"/>
      <c r="Q339" s="102"/>
      <c r="R339" s="102"/>
    </row>
    <row r="340" spans="1:18">
      <c r="A340" s="110"/>
      <c r="B340" s="110"/>
      <c r="C340" s="110"/>
      <c r="D340" s="110"/>
      <c r="E340" s="110"/>
      <c r="F340" s="110"/>
      <c r="G340" s="110"/>
      <c r="P340" s="102"/>
      <c r="Q340" s="102"/>
      <c r="R340" s="102"/>
    </row>
    <row r="341" spans="1:18">
      <c r="A341" s="110"/>
      <c r="B341" s="110"/>
      <c r="C341" s="110"/>
      <c r="D341" s="110"/>
      <c r="E341" s="110"/>
      <c r="F341" s="110"/>
      <c r="G341" s="110"/>
      <c r="P341" s="102"/>
      <c r="Q341" s="102"/>
      <c r="R341" s="102"/>
    </row>
    <row r="342" spans="1:18">
      <c r="A342" s="110"/>
      <c r="B342" s="110"/>
      <c r="C342" s="110"/>
      <c r="D342" s="110"/>
      <c r="E342" s="110"/>
      <c r="F342" s="110"/>
      <c r="G342" s="110"/>
      <c r="P342" s="102"/>
      <c r="Q342" s="102"/>
      <c r="R342" s="102"/>
    </row>
    <row r="343" spans="1:18">
      <c r="A343" s="110"/>
      <c r="B343" s="110"/>
      <c r="C343" s="110"/>
      <c r="D343" s="110"/>
      <c r="E343" s="110"/>
      <c r="F343" s="110"/>
      <c r="G343" s="110"/>
      <c r="P343" s="102"/>
      <c r="Q343" s="102"/>
      <c r="R343" s="102"/>
    </row>
    <row r="344" spans="1:18">
      <c r="A344" s="110"/>
      <c r="B344" s="110"/>
      <c r="C344" s="110"/>
      <c r="D344" s="110"/>
      <c r="E344" s="110"/>
      <c r="F344" s="110"/>
      <c r="G344" s="110"/>
      <c r="P344" s="102"/>
      <c r="Q344" s="102"/>
      <c r="R344" s="102"/>
    </row>
    <row r="345" spans="1:18">
      <c r="A345" s="110"/>
      <c r="B345" s="110"/>
      <c r="C345" s="110"/>
      <c r="D345" s="110"/>
      <c r="E345" s="110"/>
      <c r="F345" s="110"/>
      <c r="G345" s="110"/>
      <c r="P345" s="102"/>
      <c r="Q345" s="102"/>
      <c r="R345" s="102"/>
    </row>
    <row r="346" spans="1:18">
      <c r="A346" s="110"/>
      <c r="B346" s="110"/>
      <c r="C346" s="110"/>
      <c r="D346" s="110"/>
      <c r="E346" s="110"/>
      <c r="F346" s="110"/>
      <c r="G346" s="110"/>
      <c r="P346" s="102"/>
      <c r="Q346" s="102"/>
      <c r="R346" s="102"/>
    </row>
    <row r="347" spans="1:18">
      <c r="A347" s="110"/>
      <c r="B347" s="110"/>
      <c r="C347" s="110"/>
      <c r="D347" s="110"/>
      <c r="E347" s="110"/>
      <c r="F347" s="110"/>
      <c r="G347" s="110"/>
      <c r="P347" s="102"/>
      <c r="Q347" s="102"/>
      <c r="R347" s="102"/>
    </row>
    <row r="348" spans="1:18">
      <c r="A348" s="110"/>
      <c r="B348" s="110"/>
      <c r="C348" s="110"/>
      <c r="D348" s="110"/>
      <c r="E348" s="110"/>
      <c r="F348" s="110"/>
      <c r="G348" s="110"/>
      <c r="P348" s="102"/>
      <c r="Q348" s="102"/>
      <c r="R348" s="102"/>
    </row>
    <row r="349" spans="1:18">
      <c r="A349" s="110"/>
      <c r="B349" s="110"/>
      <c r="C349" s="110"/>
      <c r="D349" s="110"/>
      <c r="E349" s="110"/>
      <c r="F349" s="110"/>
      <c r="G349" s="110"/>
      <c r="P349" s="102"/>
      <c r="Q349" s="102"/>
      <c r="R349" s="102"/>
    </row>
    <row r="350" spans="1:18">
      <c r="A350" s="110"/>
      <c r="B350" s="110"/>
      <c r="C350" s="110"/>
      <c r="D350" s="110"/>
      <c r="E350" s="110"/>
      <c r="F350" s="110"/>
      <c r="G350" s="110"/>
      <c r="P350" s="102"/>
      <c r="Q350" s="102"/>
      <c r="R350" s="102"/>
    </row>
    <row r="351" spans="1:18">
      <c r="A351" s="110"/>
      <c r="B351" s="110"/>
      <c r="C351" s="110"/>
      <c r="D351" s="110"/>
      <c r="E351" s="110"/>
      <c r="F351" s="110"/>
      <c r="G351" s="110"/>
      <c r="P351" s="102"/>
      <c r="Q351" s="102"/>
      <c r="R351" s="102"/>
    </row>
    <row r="352" spans="1:18">
      <c r="A352" s="110"/>
      <c r="B352" s="110"/>
      <c r="C352" s="110"/>
      <c r="D352" s="110"/>
      <c r="E352" s="110"/>
      <c r="F352" s="110"/>
      <c r="G352" s="110"/>
      <c r="P352" s="102"/>
      <c r="Q352" s="102"/>
      <c r="R352" s="102"/>
    </row>
    <row r="353" spans="1:18">
      <c r="A353" s="110"/>
      <c r="B353" s="110"/>
      <c r="C353" s="110"/>
      <c r="D353" s="110"/>
      <c r="E353" s="110"/>
      <c r="F353" s="110"/>
      <c r="G353" s="110"/>
      <c r="P353" s="102"/>
      <c r="Q353" s="102"/>
      <c r="R353" s="102"/>
    </row>
    <row r="354" spans="1:18">
      <c r="A354" s="110"/>
      <c r="B354" s="110"/>
      <c r="C354" s="110"/>
      <c r="D354" s="110"/>
      <c r="E354" s="110"/>
      <c r="F354" s="110"/>
      <c r="G354" s="110"/>
      <c r="P354" s="102"/>
      <c r="Q354" s="102"/>
      <c r="R354" s="102"/>
    </row>
    <row r="355" spans="1:18">
      <c r="A355" s="110"/>
      <c r="B355" s="110"/>
      <c r="C355" s="110"/>
      <c r="D355" s="110"/>
      <c r="E355" s="110"/>
      <c r="F355" s="110"/>
      <c r="G355" s="110"/>
      <c r="P355" s="102"/>
      <c r="Q355" s="102"/>
      <c r="R355" s="102"/>
    </row>
    <row r="356" spans="1:18">
      <c r="A356" s="110"/>
      <c r="B356" s="110"/>
      <c r="C356" s="110"/>
      <c r="D356" s="110"/>
      <c r="E356" s="110"/>
      <c r="F356" s="110"/>
      <c r="G356" s="110"/>
      <c r="P356" s="102"/>
      <c r="Q356" s="102"/>
      <c r="R356" s="102"/>
    </row>
    <row r="357" spans="1:18">
      <c r="A357" s="110"/>
      <c r="B357" s="110"/>
      <c r="C357" s="110"/>
      <c r="D357" s="110"/>
      <c r="E357" s="110"/>
      <c r="F357" s="110"/>
      <c r="G357" s="110"/>
      <c r="P357" s="102"/>
      <c r="Q357" s="102"/>
      <c r="R357" s="102"/>
    </row>
    <row r="358" spans="1:18">
      <c r="A358" s="110"/>
      <c r="B358" s="110"/>
      <c r="C358" s="110"/>
      <c r="D358" s="110"/>
      <c r="E358" s="110"/>
      <c r="F358" s="110"/>
      <c r="G358" s="110"/>
      <c r="P358" s="102"/>
      <c r="Q358" s="102"/>
      <c r="R358" s="102"/>
    </row>
    <row r="359" spans="1:18">
      <c r="P359" s="102"/>
      <c r="Q359" s="102"/>
      <c r="R359" s="102"/>
    </row>
    <row r="360" spans="1:18">
      <c r="Q360" s="102" t="s">
        <v>203</v>
      </c>
      <c r="R360" s="102" t="s">
        <v>768</v>
      </c>
    </row>
    <row r="361" spans="1:18">
      <c r="Q361" s="102" t="s">
        <v>766</v>
      </c>
      <c r="R361" s="102" t="s">
        <v>767</v>
      </c>
    </row>
    <row r="362" spans="1:18">
      <c r="Q362" s="102" t="s">
        <v>769</v>
      </c>
      <c r="R362" s="102" t="s">
        <v>770</v>
      </c>
    </row>
    <row r="363" spans="1:18">
      <c r="Q363" s="102" t="s">
        <v>771</v>
      </c>
      <c r="R363" s="102" t="s">
        <v>772</v>
      </c>
    </row>
    <row r="364" spans="1:18">
      <c r="Q364" s="102" t="s">
        <v>773</v>
      </c>
      <c r="R364" s="102" t="s">
        <v>774</v>
      </c>
    </row>
    <row r="365" spans="1:18">
      <c r="Q365" s="102" t="s">
        <v>775</v>
      </c>
      <c r="R365" s="102" t="s">
        <v>776</v>
      </c>
    </row>
    <row r="366" spans="1:18">
      <c r="Q366" s="102" t="s">
        <v>777</v>
      </c>
      <c r="R366" s="102" t="s">
        <v>778</v>
      </c>
    </row>
    <row r="367" spans="1:18">
      <c r="Q367" s="102" t="s">
        <v>779</v>
      </c>
      <c r="R367" s="102" t="s">
        <v>780</v>
      </c>
    </row>
    <row r="368" spans="1:18">
      <c r="Q368" s="102" t="s">
        <v>781</v>
      </c>
      <c r="R368" s="102" t="s">
        <v>782</v>
      </c>
    </row>
    <row r="369" spans="17:18">
      <c r="Q369" s="102" t="s">
        <v>783</v>
      </c>
      <c r="R369" s="102" t="s">
        <v>784</v>
      </c>
    </row>
    <row r="370" spans="17:18">
      <c r="Q370" s="102" t="s">
        <v>785</v>
      </c>
      <c r="R370" s="102" t="s">
        <v>786</v>
      </c>
    </row>
    <row r="371" spans="17:18">
      <c r="Q371" s="102" t="s">
        <v>787</v>
      </c>
      <c r="R371" s="102" t="s">
        <v>788</v>
      </c>
    </row>
  </sheetData>
  <mergeCells count="3">
    <mergeCell ref="B6:C7"/>
    <mergeCell ref="D6:E6"/>
    <mergeCell ref="F6:G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4"/>
  <dimension ref="A1:BD371"/>
  <sheetViews>
    <sheetView workbookViewId="0">
      <selection activeCell="D4" sqref="D4"/>
    </sheetView>
  </sheetViews>
  <sheetFormatPr defaultColWidth="17.85546875" defaultRowHeight="12.75"/>
  <cols>
    <col min="1" max="1" width="8.85546875" style="83" customWidth="1"/>
    <col min="2" max="2" width="14.85546875" style="83" customWidth="1"/>
    <col min="3" max="3" width="43.5703125" style="83" customWidth="1"/>
    <col min="4" max="7" width="17.85546875" style="83" customWidth="1"/>
    <col min="8" max="8" width="17.85546875" style="83"/>
    <col min="9" max="9" width="5.7109375" style="83" customWidth="1"/>
    <col min="10" max="13" width="25.140625" style="83" customWidth="1"/>
    <col min="14" max="16384" width="17.85546875" style="83"/>
  </cols>
  <sheetData>
    <row r="1" spans="1:20" ht="13.5" thickBot="1">
      <c r="A1" s="82" t="s">
        <v>789</v>
      </c>
      <c r="C1" s="225"/>
      <c r="G1" s="84"/>
      <c r="J1" s="85"/>
      <c r="L1" s="85"/>
    </row>
    <row r="2" spans="1:20" ht="13.5" thickBot="1">
      <c r="B2" s="82" t="s">
        <v>33</v>
      </c>
      <c r="C2" s="225"/>
      <c r="G2" s="84"/>
      <c r="I2" s="85"/>
      <c r="K2" s="86"/>
      <c r="L2" s="87"/>
      <c r="M2" s="86"/>
      <c r="S2" s="83" t="str">
        <f>LEFT(S1,2)</f>
        <v/>
      </c>
      <c r="T2" s="83" t="str">
        <f>LEFT(S1,1)</f>
        <v/>
      </c>
    </row>
    <row r="3" spans="1:20" ht="13.5" thickBot="1">
      <c r="A3" s="88" t="s">
        <v>34</v>
      </c>
      <c r="G3" s="84"/>
    </row>
    <row r="4" spans="1:20" ht="13.5" thickBot="1">
      <c r="A4" s="88" t="s">
        <v>34</v>
      </c>
      <c r="C4" s="82" t="s">
        <v>35</v>
      </c>
      <c r="D4" s="224"/>
    </row>
    <row r="5" spans="1:20" ht="13.5" thickBot="1">
      <c r="A5" s="88" t="s">
        <v>34</v>
      </c>
      <c r="G5" s="89" t="s">
        <v>1</v>
      </c>
    </row>
    <row r="6" spans="1:20">
      <c r="A6" s="90"/>
      <c r="B6" s="236" t="s">
        <v>38</v>
      </c>
      <c r="C6" s="237"/>
      <c r="D6" s="240" t="s">
        <v>36</v>
      </c>
      <c r="E6" s="241"/>
      <c r="F6" s="240" t="s">
        <v>37</v>
      </c>
      <c r="G6" s="241"/>
    </row>
    <row r="7" spans="1:20" ht="13.5" thickBot="1">
      <c r="A7" s="91" t="s">
        <v>13</v>
      </c>
      <c r="B7" s="238"/>
      <c r="C7" s="239"/>
      <c r="D7" s="92" t="s">
        <v>39</v>
      </c>
      <c r="E7" s="92" t="s">
        <v>40</v>
      </c>
      <c r="F7" s="93" t="s">
        <v>41</v>
      </c>
      <c r="G7" s="93" t="s">
        <v>42</v>
      </c>
    </row>
    <row r="8" spans="1:20" ht="30">
      <c r="A8" s="205"/>
      <c r="B8" s="95" t="s">
        <v>43</v>
      </c>
      <c r="C8" s="96" t="s">
        <v>44</v>
      </c>
      <c r="D8" s="97"/>
      <c r="E8" s="97"/>
      <c r="F8" s="97" t="str">
        <f t="shared" ref="F8:F20" si="0">IF(D8-E8&gt;0,(D8-E8),"")</f>
        <v/>
      </c>
      <c r="G8" s="97" t="str">
        <f t="shared" ref="G8:G20" si="1">IF(D8-E8&lt;0,(D8-E8),"")</f>
        <v/>
      </c>
    </row>
    <row r="9" spans="1:20" ht="15.75">
      <c r="A9" s="206"/>
      <c r="B9" s="99" t="s">
        <v>45</v>
      </c>
      <c r="C9" s="100" t="s">
        <v>46</v>
      </c>
      <c r="D9" s="101"/>
      <c r="E9" s="101"/>
      <c r="F9" s="101" t="str">
        <f t="shared" si="0"/>
        <v/>
      </c>
      <c r="G9" s="101" t="str">
        <f t="shared" si="1"/>
        <v/>
      </c>
      <c r="P9" s="102"/>
      <c r="Q9" s="102"/>
      <c r="R9" s="102"/>
    </row>
    <row r="10" spans="1:20" ht="31.5">
      <c r="A10" s="206"/>
      <c r="B10" s="99" t="s">
        <v>47</v>
      </c>
      <c r="C10" s="103" t="s">
        <v>48</v>
      </c>
      <c r="D10" s="101"/>
      <c r="E10" s="101"/>
      <c r="F10" s="101" t="str">
        <f t="shared" si="0"/>
        <v/>
      </c>
      <c r="G10" s="101" t="str">
        <f t="shared" si="1"/>
        <v/>
      </c>
      <c r="P10" s="102"/>
      <c r="Q10" s="102"/>
      <c r="R10" s="102"/>
    </row>
    <row r="11" spans="1:20" ht="15.75">
      <c r="A11" s="206"/>
      <c r="B11" s="99" t="s">
        <v>49</v>
      </c>
      <c r="C11" s="100" t="s">
        <v>50</v>
      </c>
      <c r="D11" s="101"/>
      <c r="E11" s="101"/>
      <c r="F11" s="101" t="str">
        <f t="shared" si="0"/>
        <v/>
      </c>
      <c r="G11" s="101" t="str">
        <f t="shared" si="1"/>
        <v/>
      </c>
      <c r="P11" s="102"/>
      <c r="Q11" s="102"/>
      <c r="R11" s="102"/>
    </row>
    <row r="12" spans="1:20" ht="15.75">
      <c r="A12" s="206"/>
      <c r="B12" s="99" t="s">
        <v>51</v>
      </c>
      <c r="C12" s="100" t="s">
        <v>52</v>
      </c>
      <c r="D12" s="101"/>
      <c r="E12" s="101"/>
      <c r="F12" s="101" t="str">
        <f t="shared" si="0"/>
        <v/>
      </c>
      <c r="G12" s="101" t="str">
        <f t="shared" si="1"/>
        <v/>
      </c>
      <c r="P12" s="102"/>
      <c r="Q12" s="102"/>
      <c r="R12" s="102"/>
    </row>
    <row r="13" spans="1:20" ht="15.75">
      <c r="A13" s="206"/>
      <c r="B13" s="99" t="s">
        <v>53</v>
      </c>
      <c r="C13" s="100" t="s">
        <v>54</v>
      </c>
      <c r="D13" s="101"/>
      <c r="E13" s="101"/>
      <c r="F13" s="101" t="str">
        <f t="shared" si="0"/>
        <v/>
      </c>
      <c r="G13" s="101" t="str">
        <f t="shared" si="1"/>
        <v/>
      </c>
      <c r="P13" s="102"/>
      <c r="Q13" s="102"/>
      <c r="R13" s="102"/>
    </row>
    <row r="14" spans="1:20" ht="15.75">
      <c r="A14" s="206"/>
      <c r="B14" s="99" t="s">
        <v>55</v>
      </c>
      <c r="C14" s="100" t="s">
        <v>56</v>
      </c>
      <c r="D14" s="101"/>
      <c r="E14" s="101"/>
      <c r="F14" s="101" t="str">
        <f t="shared" si="0"/>
        <v/>
      </c>
      <c r="G14" s="101" t="str">
        <f t="shared" si="1"/>
        <v/>
      </c>
    </row>
    <row r="15" spans="1:20" ht="31.5">
      <c r="A15" s="206"/>
      <c r="B15" s="99" t="s">
        <v>57</v>
      </c>
      <c r="C15" s="103" t="s">
        <v>58</v>
      </c>
      <c r="D15" s="101"/>
      <c r="E15" s="101"/>
      <c r="F15" s="101" t="str">
        <f t="shared" si="0"/>
        <v/>
      </c>
      <c r="G15" s="101" t="str">
        <f t="shared" si="1"/>
        <v/>
      </c>
      <c r="Q15" s="104"/>
    </row>
    <row r="16" spans="1:20" ht="15.75">
      <c r="A16" s="207"/>
      <c r="B16" s="99" t="s">
        <v>59</v>
      </c>
      <c r="C16" s="100" t="s">
        <v>60</v>
      </c>
      <c r="D16" s="101"/>
      <c r="E16" s="101"/>
      <c r="F16" s="101" t="str">
        <f t="shared" si="0"/>
        <v/>
      </c>
      <c r="G16" s="101" t="str">
        <f t="shared" si="1"/>
        <v/>
      </c>
    </row>
    <row r="17" spans="1:56" ht="16.5" thickBot="1">
      <c r="A17" s="208"/>
      <c r="B17" s="107" t="s">
        <v>61</v>
      </c>
      <c r="C17" s="108" t="s">
        <v>62</v>
      </c>
      <c r="D17" s="109"/>
      <c r="E17" s="109"/>
      <c r="F17" s="109" t="str">
        <f t="shared" si="0"/>
        <v/>
      </c>
      <c r="G17" s="109" t="str">
        <f t="shared" si="1"/>
        <v/>
      </c>
    </row>
    <row r="18" spans="1:56">
      <c r="A18" s="110"/>
      <c r="B18" s="110"/>
      <c r="C18" s="110"/>
      <c r="D18" s="111"/>
      <c r="E18" s="111"/>
      <c r="F18" s="111"/>
      <c r="G18" s="111"/>
    </row>
    <row r="19" spans="1:56">
      <c r="A19" s="98" t="str">
        <f>MID(P19,4,3)</f>
        <v/>
      </c>
      <c r="B19" s="112"/>
      <c r="C19" s="113"/>
      <c r="D19" s="98"/>
      <c r="E19" s="98"/>
      <c r="F19" s="101" t="str">
        <f t="shared" si="0"/>
        <v/>
      </c>
      <c r="G19" s="101" t="str">
        <f t="shared" si="1"/>
        <v/>
      </c>
      <c r="P19" s="102"/>
      <c r="Q19" s="102"/>
      <c r="R19" s="102"/>
    </row>
    <row r="20" spans="1:56" ht="13.5" thickBot="1">
      <c r="A20" s="98" t="str">
        <f>MID(P20,4,3)</f>
        <v/>
      </c>
      <c r="B20" s="112"/>
      <c r="C20" s="113"/>
      <c r="D20" s="98"/>
      <c r="E20" s="98"/>
      <c r="F20" s="98" t="str">
        <f t="shared" si="0"/>
        <v/>
      </c>
      <c r="G20" s="98" t="str">
        <f t="shared" si="1"/>
        <v/>
      </c>
      <c r="P20" s="102"/>
      <c r="Q20" s="102"/>
      <c r="R20" s="102"/>
    </row>
    <row r="21" spans="1:56" ht="13.5" thickBot="1">
      <c r="A21" s="118"/>
      <c r="B21" s="119"/>
      <c r="C21" s="119"/>
      <c r="D21" s="119"/>
      <c r="E21" s="119"/>
      <c r="F21" s="119"/>
      <c r="G21" s="120"/>
      <c r="P21" s="102"/>
      <c r="Q21" s="102"/>
      <c r="R21" s="102"/>
    </row>
    <row r="22" spans="1:56" ht="13.5" thickBot="1">
      <c r="A22" s="110"/>
      <c r="B22" s="110"/>
      <c r="C22" s="110"/>
      <c r="D22" s="114">
        <f>SUM(D19:D21)</f>
        <v>0</v>
      </c>
      <c r="E22" s="114">
        <f>SUM(E19:E21)</f>
        <v>0</v>
      </c>
      <c r="F22" s="114">
        <f>SUM(F19:F21)</f>
        <v>0</v>
      </c>
      <c r="G22" s="114">
        <f>SUM(G19:G21)</f>
        <v>0</v>
      </c>
      <c r="P22" s="102"/>
      <c r="Q22" s="102"/>
      <c r="R22" s="102"/>
    </row>
    <row r="23" spans="1:56">
      <c r="A23" s="110"/>
      <c r="B23" s="110"/>
      <c r="C23" s="110"/>
      <c r="P23" s="102"/>
      <c r="Q23" s="102"/>
      <c r="R23" s="102"/>
    </row>
    <row r="24" spans="1:56">
      <c r="A24" s="110"/>
      <c r="B24" s="110"/>
      <c r="C24" s="110"/>
      <c r="D24" s="110"/>
      <c r="E24" s="110"/>
      <c r="F24" s="110"/>
      <c r="G24" s="110"/>
      <c r="P24" s="102"/>
      <c r="Q24" s="102"/>
      <c r="R24" s="102"/>
    </row>
    <row r="25" spans="1:56" ht="15">
      <c r="A25" s="110"/>
      <c r="B25" s="110"/>
      <c r="C25" s="110"/>
      <c r="D25" s="110"/>
      <c r="E25" s="110"/>
      <c r="F25" s="110"/>
      <c r="G25" s="110"/>
      <c r="P25" s="102"/>
      <c r="Q25" s="102"/>
      <c r="R25" s="102"/>
      <c r="BB25" s="92" t="s">
        <v>13</v>
      </c>
      <c r="BC25"/>
      <c r="BD25"/>
    </row>
    <row r="26" spans="1:56" ht="15">
      <c r="A26" s="110"/>
      <c r="B26" s="110"/>
      <c r="C26" s="110"/>
      <c r="D26" s="110"/>
      <c r="E26" s="110"/>
      <c r="F26" s="110"/>
      <c r="G26" s="110"/>
      <c r="P26" s="102"/>
      <c r="Q26" s="102"/>
      <c r="R26" s="102"/>
      <c r="BB26" s="115"/>
      <c r="BC26">
        <f>SUM(BC29:BC9995)</f>
        <v>0</v>
      </c>
      <c r="BD26">
        <f>SUM(BD29:BD9995)</f>
        <v>0</v>
      </c>
    </row>
    <row r="27" spans="1:56" ht="15">
      <c r="A27" s="110"/>
      <c r="B27" s="110"/>
      <c r="C27" s="110"/>
      <c r="D27" s="110"/>
      <c r="E27" s="110"/>
      <c r="F27" s="110"/>
      <c r="G27" s="110"/>
      <c r="P27" s="102"/>
      <c r="Q27" s="102"/>
      <c r="R27" s="102"/>
      <c r="BB27"/>
      <c r="BC27"/>
      <c r="BD27"/>
    </row>
    <row r="28" spans="1:56">
      <c r="A28" s="110"/>
      <c r="B28" s="110"/>
      <c r="C28" s="110"/>
      <c r="D28" s="110"/>
      <c r="E28" s="110"/>
      <c r="F28" s="110"/>
      <c r="G28" s="110"/>
      <c r="P28" s="102"/>
      <c r="Q28" s="102"/>
      <c r="R28" s="102"/>
      <c r="BB28" s="92" t="s">
        <v>13</v>
      </c>
      <c r="BC28" s="92" t="s">
        <v>39</v>
      </c>
      <c r="BD28" s="92" t="s">
        <v>40</v>
      </c>
    </row>
    <row r="29" spans="1:56" ht="15">
      <c r="A29" s="110"/>
      <c r="B29" s="110"/>
      <c r="C29" s="110"/>
      <c r="D29" s="110"/>
      <c r="E29" s="110"/>
      <c r="F29" s="110"/>
      <c r="G29" s="110"/>
      <c r="P29" s="102"/>
      <c r="Q29" s="102"/>
      <c r="R29" s="102"/>
      <c r="BB29" s="115"/>
      <c r="BC29"/>
      <c r="BD29"/>
    </row>
    <row r="30" spans="1:56" ht="15">
      <c r="A30" s="110"/>
      <c r="B30" s="110"/>
      <c r="C30" s="110"/>
      <c r="P30" s="102"/>
      <c r="Q30" s="102"/>
      <c r="R30" s="102"/>
      <c r="BB30"/>
      <c r="BC30"/>
      <c r="BD30"/>
    </row>
    <row r="31" spans="1:56" ht="15">
      <c r="A31" s="110"/>
      <c r="B31" s="110"/>
      <c r="C31" s="110"/>
      <c r="D31" s="110"/>
      <c r="E31" s="110"/>
      <c r="F31" s="110"/>
      <c r="G31" s="110"/>
      <c r="P31" s="102"/>
      <c r="Q31" s="102"/>
      <c r="R31" s="102"/>
      <c r="BB31"/>
      <c r="BC31"/>
      <c r="BD31"/>
    </row>
    <row r="32" spans="1:56" ht="15">
      <c r="A32" s="110"/>
      <c r="B32" s="110"/>
      <c r="C32" s="110"/>
      <c r="D32" s="110"/>
      <c r="E32" s="110"/>
      <c r="F32" s="110"/>
      <c r="G32" s="110"/>
      <c r="P32" s="102"/>
      <c r="Q32" s="102"/>
      <c r="R32" s="102"/>
      <c r="BB32"/>
      <c r="BC32"/>
      <c r="BD32"/>
    </row>
    <row r="33" spans="1:56" ht="15">
      <c r="A33" s="110"/>
      <c r="B33" s="110"/>
      <c r="C33" s="110"/>
      <c r="D33" s="110"/>
      <c r="E33" s="110"/>
      <c r="F33" s="110"/>
      <c r="G33" s="110"/>
      <c r="P33" s="102"/>
      <c r="Q33" s="102"/>
      <c r="R33" s="102"/>
      <c r="BB33"/>
      <c r="BC33"/>
      <c r="BD33"/>
    </row>
    <row r="34" spans="1:56">
      <c r="A34" s="110"/>
      <c r="B34" s="110"/>
      <c r="C34" s="110"/>
      <c r="D34" s="110"/>
      <c r="E34" s="110"/>
      <c r="F34" s="110"/>
      <c r="G34" s="110"/>
      <c r="P34" s="102"/>
      <c r="Q34" s="102"/>
      <c r="R34" s="102"/>
    </row>
    <row r="35" spans="1:56">
      <c r="A35" s="110"/>
      <c r="B35" s="110"/>
      <c r="C35" s="110"/>
      <c r="D35" s="110"/>
      <c r="E35" s="110"/>
      <c r="F35" s="110"/>
      <c r="G35" s="110"/>
      <c r="P35" s="102"/>
      <c r="Q35" s="102"/>
      <c r="R35" s="102"/>
    </row>
    <row r="36" spans="1:56">
      <c r="A36" s="110"/>
      <c r="B36" s="110"/>
      <c r="C36" s="110"/>
      <c r="D36" s="110"/>
      <c r="E36" s="110"/>
      <c r="F36" s="110"/>
      <c r="G36" s="110"/>
      <c r="P36" s="102"/>
      <c r="Q36" s="102"/>
      <c r="R36" s="102"/>
    </row>
    <row r="37" spans="1:56">
      <c r="A37" s="110"/>
      <c r="B37" s="110"/>
      <c r="C37" s="110"/>
      <c r="D37" s="110"/>
      <c r="E37" s="110"/>
      <c r="F37" s="110"/>
      <c r="G37" s="110"/>
      <c r="P37" s="102"/>
      <c r="Q37" s="102"/>
      <c r="R37" s="102"/>
    </row>
    <row r="38" spans="1:56">
      <c r="A38" s="110"/>
      <c r="B38" s="110"/>
      <c r="C38" s="110"/>
      <c r="D38" s="110"/>
      <c r="E38" s="110"/>
      <c r="F38" s="110"/>
      <c r="G38" s="110"/>
      <c r="P38" s="102"/>
      <c r="Q38" s="102"/>
      <c r="R38" s="102"/>
    </row>
    <row r="39" spans="1:56">
      <c r="A39" s="110"/>
      <c r="B39" s="110"/>
      <c r="C39" s="110"/>
      <c r="D39" s="110"/>
      <c r="E39" s="110"/>
      <c r="F39" s="110"/>
      <c r="G39" s="110"/>
      <c r="P39" s="102"/>
      <c r="Q39" s="102"/>
      <c r="R39" s="102"/>
    </row>
    <row r="40" spans="1:56">
      <c r="A40" s="110"/>
      <c r="B40" s="110"/>
      <c r="C40" s="110"/>
      <c r="D40" s="110"/>
      <c r="E40" s="110"/>
      <c r="F40" s="110"/>
      <c r="G40" s="110"/>
      <c r="P40" s="102"/>
      <c r="Q40" s="102"/>
      <c r="R40" s="102"/>
    </row>
    <row r="41" spans="1:56">
      <c r="A41" s="110"/>
      <c r="B41" s="110"/>
      <c r="C41" s="110"/>
      <c r="D41" s="110"/>
      <c r="E41" s="110"/>
      <c r="F41" s="110"/>
      <c r="G41" s="110"/>
      <c r="P41" s="102"/>
      <c r="Q41" s="102"/>
      <c r="R41" s="102"/>
    </row>
    <row r="42" spans="1:56">
      <c r="A42" s="110"/>
      <c r="B42" s="110"/>
      <c r="C42" s="110"/>
      <c r="D42" s="110"/>
      <c r="E42" s="110"/>
      <c r="F42" s="110"/>
      <c r="G42" s="110"/>
      <c r="P42" s="102"/>
      <c r="Q42" s="102"/>
      <c r="R42" s="102"/>
    </row>
    <row r="43" spans="1:56">
      <c r="A43" s="110"/>
      <c r="B43" s="110"/>
      <c r="C43" s="110"/>
      <c r="D43" s="110"/>
      <c r="E43" s="110"/>
      <c r="F43" s="110"/>
      <c r="G43" s="110"/>
      <c r="P43" s="102"/>
      <c r="Q43" s="102"/>
      <c r="R43" s="102"/>
    </row>
    <row r="44" spans="1:56">
      <c r="A44" s="110"/>
      <c r="B44" s="110"/>
      <c r="C44" s="110"/>
      <c r="D44" s="110"/>
      <c r="E44" s="110"/>
      <c r="F44" s="110"/>
      <c r="G44" s="110"/>
      <c r="P44" s="102"/>
      <c r="Q44" s="102"/>
      <c r="R44" s="102"/>
    </row>
    <row r="45" spans="1:56">
      <c r="A45" s="110"/>
      <c r="B45" s="110"/>
      <c r="C45" s="110"/>
      <c r="D45" s="110"/>
      <c r="E45" s="110"/>
      <c r="F45" s="110"/>
      <c r="G45" s="110"/>
      <c r="P45" s="102"/>
      <c r="Q45" s="102"/>
      <c r="R45" s="102"/>
    </row>
    <row r="46" spans="1:56">
      <c r="A46" s="110"/>
      <c r="B46" s="110"/>
      <c r="C46" s="110"/>
      <c r="D46" s="110"/>
      <c r="E46" s="110"/>
      <c r="F46" s="110"/>
      <c r="G46" s="110"/>
      <c r="P46" s="102"/>
      <c r="Q46" s="102"/>
      <c r="R46" s="102"/>
    </row>
    <row r="47" spans="1:56">
      <c r="A47" s="110"/>
      <c r="B47" s="110"/>
      <c r="C47" s="110"/>
      <c r="D47" s="110"/>
      <c r="E47" s="110"/>
      <c r="F47" s="110"/>
      <c r="G47" s="110"/>
      <c r="P47" s="102"/>
      <c r="Q47" s="102"/>
      <c r="R47" s="102"/>
    </row>
    <row r="48" spans="1:56">
      <c r="A48" s="110"/>
      <c r="B48" s="110"/>
      <c r="C48" s="110"/>
      <c r="D48" s="110"/>
      <c r="E48" s="110"/>
      <c r="F48" s="110"/>
      <c r="G48" s="110"/>
      <c r="P48" s="102"/>
      <c r="Q48" s="102"/>
      <c r="R48" s="102"/>
    </row>
    <row r="49" spans="1:18">
      <c r="A49" s="110"/>
      <c r="B49" s="110"/>
      <c r="C49" s="110"/>
      <c r="D49" s="110"/>
      <c r="E49" s="110"/>
      <c r="F49" s="110"/>
      <c r="G49" s="110"/>
      <c r="P49" s="102"/>
      <c r="Q49" s="102"/>
      <c r="R49" s="102"/>
    </row>
    <row r="50" spans="1:18">
      <c r="A50" s="110"/>
      <c r="B50" s="110"/>
      <c r="C50" s="110"/>
      <c r="D50" s="110"/>
      <c r="E50" s="110"/>
      <c r="F50" s="110"/>
      <c r="G50" s="110"/>
      <c r="P50" s="102"/>
      <c r="Q50" s="102"/>
      <c r="R50" s="102"/>
    </row>
    <row r="51" spans="1:18">
      <c r="A51" s="110"/>
      <c r="B51" s="110"/>
      <c r="C51" s="110"/>
      <c r="D51" s="110"/>
      <c r="E51" s="110"/>
      <c r="F51" s="110"/>
      <c r="G51" s="110"/>
      <c r="P51" s="102"/>
      <c r="Q51" s="102"/>
      <c r="R51" s="102"/>
    </row>
    <row r="52" spans="1:18">
      <c r="A52" s="110"/>
      <c r="B52" s="110"/>
      <c r="C52" s="110"/>
      <c r="D52" s="110"/>
      <c r="E52" s="110"/>
      <c r="F52" s="110"/>
      <c r="G52" s="110"/>
      <c r="P52" s="102"/>
      <c r="Q52" s="102"/>
      <c r="R52" s="102"/>
    </row>
    <row r="53" spans="1:18">
      <c r="A53" s="110"/>
      <c r="B53" s="110"/>
      <c r="C53" s="110"/>
      <c r="D53" s="110"/>
      <c r="E53" s="110"/>
      <c r="F53" s="110"/>
      <c r="G53" s="110"/>
      <c r="P53" s="102"/>
      <c r="Q53" s="102"/>
      <c r="R53" s="102"/>
    </row>
    <row r="54" spans="1:18">
      <c r="A54" s="110"/>
      <c r="B54" s="110"/>
      <c r="C54" s="110"/>
      <c r="D54" s="110"/>
      <c r="E54" s="110"/>
      <c r="F54" s="110"/>
      <c r="G54" s="110"/>
      <c r="P54" s="102"/>
      <c r="Q54" s="102"/>
      <c r="R54" s="102"/>
    </row>
    <row r="55" spans="1:18">
      <c r="A55" s="110"/>
      <c r="B55" s="110"/>
      <c r="C55" s="110"/>
      <c r="D55" s="110"/>
      <c r="E55" s="110"/>
      <c r="F55" s="110"/>
      <c r="G55" s="110"/>
      <c r="P55" s="102"/>
      <c r="Q55" s="102"/>
      <c r="R55" s="102"/>
    </row>
    <row r="56" spans="1:18">
      <c r="A56" s="110"/>
      <c r="B56" s="110"/>
      <c r="C56" s="110"/>
      <c r="D56" s="110"/>
      <c r="E56" s="110"/>
      <c r="F56" s="110"/>
      <c r="G56" s="110"/>
      <c r="P56" s="102"/>
      <c r="Q56" s="102"/>
      <c r="R56" s="102"/>
    </row>
    <row r="57" spans="1:18">
      <c r="A57" s="110"/>
      <c r="B57" s="110"/>
      <c r="C57" s="110"/>
      <c r="D57" s="110"/>
      <c r="E57" s="110"/>
      <c r="F57" s="110"/>
      <c r="G57" s="110"/>
      <c r="P57" s="102"/>
      <c r="Q57" s="102"/>
      <c r="R57" s="102"/>
    </row>
    <row r="58" spans="1:18">
      <c r="A58" s="110"/>
      <c r="B58" s="110"/>
      <c r="C58" s="110"/>
      <c r="D58" s="110"/>
      <c r="E58" s="110"/>
      <c r="F58" s="110"/>
      <c r="G58" s="110"/>
      <c r="P58" s="102"/>
      <c r="Q58" s="102"/>
      <c r="R58" s="102"/>
    </row>
    <row r="59" spans="1:18">
      <c r="A59" s="110"/>
      <c r="B59" s="110"/>
      <c r="C59" s="110"/>
      <c r="D59" s="110"/>
      <c r="E59" s="110"/>
      <c r="F59" s="110"/>
      <c r="G59" s="110"/>
      <c r="P59" s="102"/>
      <c r="Q59" s="102"/>
      <c r="R59" s="102"/>
    </row>
    <row r="60" spans="1:18">
      <c r="A60" s="110"/>
      <c r="B60" s="110"/>
      <c r="C60" s="110"/>
      <c r="D60" s="110"/>
      <c r="E60" s="110"/>
      <c r="F60" s="110"/>
      <c r="G60" s="110"/>
      <c r="P60" s="102"/>
      <c r="Q60" s="102"/>
      <c r="R60" s="102"/>
    </row>
    <row r="61" spans="1:18">
      <c r="A61" s="110"/>
      <c r="B61" s="110"/>
      <c r="C61" s="110"/>
      <c r="D61" s="110"/>
      <c r="E61" s="110"/>
      <c r="F61" s="110"/>
      <c r="G61" s="110"/>
      <c r="P61" s="102"/>
      <c r="Q61" s="102"/>
      <c r="R61" s="102"/>
    </row>
    <row r="62" spans="1:18">
      <c r="A62" s="110"/>
      <c r="B62" s="110"/>
      <c r="C62" s="110"/>
      <c r="D62" s="110"/>
      <c r="E62" s="110"/>
      <c r="F62" s="110"/>
      <c r="G62" s="110"/>
      <c r="P62" s="102"/>
      <c r="Q62" s="102"/>
      <c r="R62" s="102"/>
    </row>
    <row r="63" spans="1:18">
      <c r="A63" s="110"/>
      <c r="B63" s="110"/>
      <c r="C63" s="110"/>
      <c r="D63" s="110"/>
      <c r="E63" s="110"/>
      <c r="F63" s="110"/>
      <c r="G63" s="110"/>
      <c r="P63" s="102"/>
      <c r="Q63" s="102"/>
      <c r="R63" s="102"/>
    </row>
    <row r="64" spans="1:18">
      <c r="A64" s="110"/>
      <c r="B64" s="110"/>
      <c r="C64" s="110"/>
      <c r="D64" s="110"/>
      <c r="E64" s="110"/>
      <c r="F64" s="110"/>
      <c r="G64" s="110"/>
      <c r="P64" s="102"/>
      <c r="Q64" s="102"/>
      <c r="R64" s="102"/>
    </row>
    <row r="65" spans="1:18">
      <c r="A65" s="110"/>
      <c r="B65" s="110"/>
      <c r="C65" s="110"/>
      <c r="D65" s="110"/>
      <c r="E65" s="110"/>
      <c r="F65" s="110"/>
      <c r="G65" s="110"/>
      <c r="P65" s="102"/>
      <c r="Q65" s="102"/>
      <c r="R65" s="102"/>
    </row>
    <row r="66" spans="1:18">
      <c r="A66" s="110"/>
      <c r="B66" s="110"/>
      <c r="C66" s="110"/>
      <c r="D66" s="110"/>
      <c r="E66" s="110"/>
      <c r="F66" s="110"/>
      <c r="G66" s="110"/>
      <c r="P66" s="102"/>
      <c r="Q66" s="102"/>
      <c r="R66" s="102"/>
    </row>
    <row r="67" spans="1:18">
      <c r="A67" s="110"/>
      <c r="B67" s="110"/>
      <c r="C67" s="110"/>
      <c r="D67" s="110"/>
      <c r="E67" s="110"/>
      <c r="F67" s="110"/>
      <c r="G67" s="110"/>
      <c r="P67" s="102"/>
      <c r="Q67" s="102"/>
      <c r="R67" s="102"/>
    </row>
    <row r="68" spans="1:18">
      <c r="A68" s="110"/>
      <c r="B68" s="110"/>
      <c r="C68" s="110"/>
      <c r="D68" s="110"/>
      <c r="E68" s="110"/>
      <c r="F68" s="110"/>
      <c r="G68" s="110"/>
      <c r="P68" s="102"/>
      <c r="Q68" s="102"/>
      <c r="R68" s="102"/>
    </row>
    <row r="69" spans="1:18">
      <c r="A69" s="110"/>
      <c r="B69" s="110"/>
      <c r="C69" s="110"/>
      <c r="D69" s="110"/>
      <c r="E69" s="110"/>
      <c r="F69" s="110"/>
      <c r="G69" s="110"/>
      <c r="P69" s="102"/>
      <c r="Q69" s="102"/>
      <c r="R69" s="102"/>
    </row>
    <row r="70" spans="1:18">
      <c r="A70" s="110"/>
      <c r="B70" s="110"/>
      <c r="C70" s="110"/>
      <c r="D70" s="110"/>
      <c r="E70" s="110"/>
      <c r="F70" s="110"/>
      <c r="G70" s="110"/>
      <c r="P70" s="102"/>
      <c r="Q70" s="102"/>
      <c r="R70" s="102"/>
    </row>
    <row r="71" spans="1:18">
      <c r="A71" s="110"/>
      <c r="B71" s="110"/>
      <c r="C71" s="110"/>
      <c r="D71" s="110"/>
      <c r="E71" s="110"/>
      <c r="F71" s="110"/>
      <c r="G71" s="110"/>
      <c r="P71" s="102"/>
      <c r="Q71" s="102"/>
      <c r="R71" s="102"/>
    </row>
    <row r="72" spans="1:18">
      <c r="A72" s="110"/>
      <c r="B72" s="110"/>
      <c r="C72" s="110"/>
      <c r="D72" s="110"/>
      <c r="E72" s="110"/>
      <c r="F72" s="110"/>
      <c r="G72" s="110"/>
      <c r="P72" s="102"/>
      <c r="Q72" s="102"/>
      <c r="R72" s="102"/>
    </row>
    <row r="73" spans="1:18">
      <c r="A73" s="110"/>
      <c r="B73" s="110"/>
      <c r="C73" s="110"/>
      <c r="D73" s="110"/>
      <c r="E73" s="110"/>
      <c r="F73" s="110"/>
      <c r="G73" s="110"/>
      <c r="P73" s="102"/>
      <c r="Q73" s="102"/>
      <c r="R73" s="102"/>
    </row>
    <row r="74" spans="1:18">
      <c r="A74" s="110"/>
      <c r="B74" s="110"/>
      <c r="C74" s="110"/>
      <c r="D74" s="110"/>
      <c r="E74" s="110"/>
      <c r="F74" s="110"/>
      <c r="G74" s="110"/>
      <c r="P74" s="102"/>
      <c r="Q74" s="102"/>
      <c r="R74" s="102"/>
    </row>
    <row r="75" spans="1:18">
      <c r="A75" s="110"/>
      <c r="B75" s="110"/>
      <c r="C75" s="110"/>
      <c r="D75" s="110"/>
      <c r="E75" s="110"/>
      <c r="F75" s="110"/>
      <c r="G75" s="110"/>
      <c r="P75" s="102"/>
      <c r="Q75" s="102"/>
      <c r="R75" s="102"/>
    </row>
    <row r="76" spans="1:18">
      <c r="A76" s="110"/>
      <c r="B76" s="110"/>
      <c r="C76" s="110"/>
      <c r="D76" s="110"/>
      <c r="E76" s="110"/>
      <c r="F76" s="110"/>
      <c r="G76" s="110"/>
      <c r="P76" s="102"/>
      <c r="Q76" s="102"/>
      <c r="R76" s="102"/>
    </row>
    <row r="77" spans="1:18">
      <c r="A77" s="110"/>
      <c r="B77" s="110"/>
      <c r="C77" s="110"/>
      <c r="D77" s="110"/>
      <c r="E77" s="110"/>
      <c r="F77" s="110"/>
      <c r="G77" s="110"/>
      <c r="P77" s="102"/>
      <c r="Q77" s="102"/>
      <c r="R77" s="102"/>
    </row>
    <row r="78" spans="1:18">
      <c r="A78" s="110"/>
      <c r="B78" s="110"/>
      <c r="C78" s="110"/>
      <c r="D78" s="110"/>
      <c r="E78" s="110"/>
      <c r="F78" s="110"/>
      <c r="G78" s="110"/>
      <c r="P78" s="102"/>
      <c r="Q78" s="102"/>
      <c r="R78" s="102"/>
    </row>
    <row r="79" spans="1:18">
      <c r="A79" s="110"/>
      <c r="B79" s="110"/>
      <c r="C79" s="110"/>
      <c r="D79" s="110"/>
      <c r="E79" s="110"/>
      <c r="F79" s="110"/>
      <c r="G79" s="110"/>
      <c r="P79" s="102"/>
      <c r="Q79" s="102"/>
      <c r="R79" s="102"/>
    </row>
    <row r="80" spans="1:18">
      <c r="A80" s="110"/>
      <c r="B80" s="110"/>
      <c r="C80" s="110"/>
      <c r="D80" s="110"/>
      <c r="E80" s="110"/>
      <c r="F80" s="110"/>
      <c r="G80" s="110"/>
      <c r="P80" s="102"/>
      <c r="Q80" s="102"/>
      <c r="R80" s="102"/>
    </row>
    <row r="81" spans="1:18">
      <c r="A81" s="110"/>
      <c r="B81" s="110"/>
      <c r="C81" s="110"/>
      <c r="D81" s="110"/>
      <c r="E81" s="110"/>
      <c r="F81" s="110"/>
      <c r="G81" s="110"/>
      <c r="P81" s="102"/>
      <c r="Q81" s="102"/>
      <c r="R81" s="102"/>
    </row>
    <row r="82" spans="1:18">
      <c r="A82" s="110"/>
      <c r="B82" s="110"/>
      <c r="C82" s="110"/>
      <c r="D82" s="110"/>
      <c r="E82" s="110"/>
      <c r="F82" s="110"/>
      <c r="G82" s="110"/>
      <c r="P82" s="102"/>
      <c r="Q82" s="102"/>
      <c r="R82" s="102"/>
    </row>
    <row r="83" spans="1:18">
      <c r="A83" s="110"/>
      <c r="B83" s="110"/>
      <c r="C83" s="110"/>
      <c r="D83" s="110"/>
      <c r="E83" s="110"/>
      <c r="F83" s="110"/>
      <c r="G83" s="110"/>
      <c r="P83" s="102"/>
      <c r="Q83" s="102"/>
      <c r="R83" s="102"/>
    </row>
    <row r="84" spans="1:18">
      <c r="A84" s="110"/>
      <c r="B84" s="110"/>
      <c r="C84" s="110"/>
      <c r="D84" s="110"/>
      <c r="E84" s="110"/>
      <c r="F84" s="110"/>
      <c r="G84" s="110"/>
      <c r="P84" s="102"/>
      <c r="Q84" s="102"/>
      <c r="R84" s="102"/>
    </row>
    <row r="85" spans="1:18">
      <c r="A85" s="110"/>
      <c r="B85" s="110"/>
      <c r="C85" s="110"/>
      <c r="D85" s="110"/>
      <c r="E85" s="110"/>
      <c r="F85" s="110"/>
      <c r="G85" s="110"/>
      <c r="P85" s="102"/>
      <c r="Q85" s="102"/>
      <c r="R85" s="102"/>
    </row>
    <row r="86" spans="1:18">
      <c r="A86" s="110"/>
      <c r="B86" s="110"/>
      <c r="C86" s="110"/>
      <c r="D86" s="110"/>
      <c r="E86" s="110"/>
      <c r="F86" s="110"/>
      <c r="G86" s="110"/>
      <c r="P86" s="102"/>
      <c r="Q86" s="102"/>
      <c r="R86" s="102"/>
    </row>
    <row r="87" spans="1:18">
      <c r="A87" s="110"/>
      <c r="B87" s="110"/>
      <c r="C87" s="110"/>
      <c r="D87" s="110"/>
      <c r="E87" s="110"/>
      <c r="F87" s="110"/>
      <c r="G87" s="110"/>
      <c r="P87" s="102"/>
      <c r="Q87" s="102"/>
      <c r="R87" s="102"/>
    </row>
    <row r="88" spans="1:18">
      <c r="A88" s="110"/>
      <c r="B88" s="110"/>
      <c r="C88" s="110"/>
      <c r="D88" s="110"/>
      <c r="E88" s="110"/>
      <c r="F88" s="110"/>
      <c r="G88" s="110"/>
      <c r="P88" s="102"/>
      <c r="Q88" s="102"/>
      <c r="R88" s="102"/>
    </row>
    <row r="89" spans="1:18">
      <c r="A89" s="110"/>
      <c r="B89" s="110"/>
      <c r="C89" s="110"/>
      <c r="D89" s="110"/>
      <c r="E89" s="110"/>
      <c r="F89" s="110"/>
      <c r="G89" s="110"/>
      <c r="P89" s="102"/>
      <c r="Q89" s="102"/>
      <c r="R89" s="102"/>
    </row>
    <row r="90" spans="1:18">
      <c r="A90" s="110"/>
      <c r="B90" s="110"/>
      <c r="C90" s="110"/>
      <c r="D90" s="110"/>
      <c r="E90" s="110"/>
      <c r="F90" s="110"/>
      <c r="G90" s="110"/>
      <c r="P90" s="102"/>
      <c r="Q90" s="102"/>
      <c r="R90" s="102"/>
    </row>
    <row r="91" spans="1:18">
      <c r="A91" s="110"/>
      <c r="B91" s="110"/>
      <c r="C91" s="110"/>
      <c r="D91" s="110"/>
      <c r="E91" s="110"/>
      <c r="F91" s="110"/>
      <c r="G91" s="110"/>
      <c r="P91" s="102"/>
      <c r="Q91" s="102"/>
      <c r="R91" s="102"/>
    </row>
    <row r="92" spans="1:18">
      <c r="A92" s="110"/>
      <c r="B92" s="110"/>
      <c r="C92" s="110"/>
      <c r="D92" s="110"/>
      <c r="E92" s="110"/>
      <c r="F92" s="110"/>
      <c r="G92" s="110"/>
      <c r="P92" s="102"/>
      <c r="Q92" s="102"/>
      <c r="R92" s="102"/>
    </row>
    <row r="93" spans="1:18">
      <c r="A93" s="110"/>
      <c r="B93" s="110"/>
      <c r="C93" s="110"/>
      <c r="D93" s="110"/>
      <c r="E93" s="110"/>
      <c r="F93" s="110"/>
      <c r="G93" s="110"/>
      <c r="P93" s="102"/>
      <c r="Q93" s="102"/>
      <c r="R93" s="102"/>
    </row>
    <row r="94" spans="1:18">
      <c r="A94" s="110"/>
      <c r="B94" s="110"/>
      <c r="C94" s="110"/>
      <c r="D94" s="110"/>
      <c r="E94" s="110"/>
      <c r="F94" s="110"/>
      <c r="G94" s="110"/>
      <c r="P94" s="102"/>
      <c r="Q94" s="102"/>
      <c r="R94" s="102"/>
    </row>
    <row r="95" spans="1:18">
      <c r="A95" s="110"/>
      <c r="B95" s="110"/>
      <c r="C95" s="110"/>
      <c r="D95" s="110"/>
      <c r="E95" s="110"/>
      <c r="F95" s="110"/>
      <c r="G95" s="110"/>
      <c r="P95" s="102"/>
      <c r="Q95" s="102"/>
      <c r="R95" s="102"/>
    </row>
    <row r="96" spans="1:18">
      <c r="A96" s="110"/>
      <c r="B96" s="110"/>
      <c r="C96" s="110"/>
      <c r="D96" s="110"/>
      <c r="E96" s="110"/>
      <c r="F96" s="110"/>
      <c r="G96" s="110"/>
      <c r="P96" s="102"/>
      <c r="Q96" s="102"/>
      <c r="R96" s="102"/>
    </row>
    <row r="97" spans="1:18">
      <c r="A97" s="110"/>
      <c r="B97" s="110"/>
      <c r="C97" s="110"/>
      <c r="D97" s="110"/>
      <c r="E97" s="110"/>
      <c r="F97" s="110"/>
      <c r="G97" s="110"/>
      <c r="P97" s="102"/>
      <c r="Q97" s="102"/>
      <c r="R97" s="102"/>
    </row>
    <row r="98" spans="1:18">
      <c r="A98" s="110"/>
      <c r="B98" s="110"/>
      <c r="C98" s="110"/>
      <c r="D98" s="110"/>
      <c r="E98" s="110"/>
      <c r="F98" s="110"/>
      <c r="G98" s="110"/>
      <c r="P98" s="102"/>
      <c r="Q98" s="102"/>
      <c r="R98" s="102"/>
    </row>
    <row r="99" spans="1:18">
      <c r="A99" s="110"/>
      <c r="B99" s="110"/>
      <c r="C99" s="110"/>
      <c r="D99" s="110"/>
      <c r="E99" s="110"/>
      <c r="F99" s="110"/>
      <c r="G99" s="110"/>
      <c r="P99" s="102"/>
      <c r="Q99" s="102"/>
      <c r="R99" s="102"/>
    </row>
    <row r="100" spans="1:18">
      <c r="A100" s="110"/>
      <c r="B100" s="110"/>
      <c r="C100" s="110"/>
      <c r="D100" s="110"/>
      <c r="E100" s="110"/>
      <c r="F100" s="110"/>
      <c r="G100" s="110"/>
      <c r="P100" s="102"/>
      <c r="Q100" s="102"/>
      <c r="R100" s="102"/>
    </row>
    <row r="101" spans="1:18">
      <c r="A101" s="110"/>
      <c r="B101" s="110"/>
      <c r="C101" s="110"/>
      <c r="D101" s="110"/>
      <c r="E101" s="110"/>
      <c r="F101" s="110"/>
      <c r="G101" s="110"/>
      <c r="P101" s="102"/>
      <c r="Q101" s="102"/>
      <c r="R101" s="102"/>
    </row>
    <row r="102" spans="1:18">
      <c r="A102" s="110"/>
      <c r="B102" s="110"/>
      <c r="C102" s="110"/>
      <c r="D102" s="110"/>
      <c r="E102" s="110"/>
      <c r="F102" s="110"/>
      <c r="G102" s="110"/>
      <c r="P102" s="102"/>
      <c r="Q102" s="102"/>
      <c r="R102" s="102"/>
    </row>
    <row r="103" spans="1:18">
      <c r="A103" s="110"/>
      <c r="B103" s="110"/>
      <c r="C103" s="110"/>
      <c r="D103" s="110"/>
      <c r="E103" s="110"/>
      <c r="F103" s="110"/>
      <c r="G103" s="110"/>
      <c r="P103" s="102"/>
      <c r="Q103" s="102"/>
      <c r="R103" s="102"/>
    </row>
    <row r="104" spans="1:18">
      <c r="A104" s="110"/>
      <c r="B104" s="110"/>
      <c r="C104" s="110"/>
      <c r="D104" s="110"/>
      <c r="E104" s="110"/>
      <c r="F104" s="110"/>
      <c r="G104" s="110"/>
      <c r="P104" s="102"/>
      <c r="Q104" s="102"/>
      <c r="R104" s="102"/>
    </row>
    <row r="105" spans="1:18">
      <c r="A105" s="110"/>
      <c r="B105" s="110"/>
      <c r="C105" s="110"/>
      <c r="D105" s="110"/>
      <c r="E105" s="110"/>
      <c r="F105" s="110"/>
      <c r="G105" s="110"/>
      <c r="P105" s="102"/>
      <c r="Q105" s="102"/>
      <c r="R105" s="102"/>
    </row>
    <row r="106" spans="1:18">
      <c r="A106" s="110"/>
      <c r="B106" s="110"/>
      <c r="C106" s="110"/>
      <c r="D106" s="110"/>
      <c r="E106" s="110"/>
      <c r="F106" s="110"/>
      <c r="G106" s="110"/>
      <c r="P106" s="102"/>
      <c r="Q106" s="102"/>
      <c r="R106" s="102"/>
    </row>
    <row r="107" spans="1:18">
      <c r="A107" s="110"/>
      <c r="B107" s="110"/>
      <c r="C107" s="110"/>
      <c r="D107" s="110"/>
      <c r="E107" s="110"/>
      <c r="F107" s="110"/>
      <c r="G107" s="110"/>
      <c r="P107" s="102"/>
      <c r="Q107" s="102"/>
      <c r="R107" s="102"/>
    </row>
    <row r="108" spans="1:18">
      <c r="A108" s="110"/>
      <c r="B108" s="110"/>
      <c r="C108" s="110"/>
      <c r="D108" s="110"/>
      <c r="E108" s="110"/>
      <c r="F108" s="110"/>
      <c r="G108" s="110"/>
      <c r="P108" s="102"/>
      <c r="Q108" s="102"/>
      <c r="R108" s="102"/>
    </row>
    <row r="109" spans="1:18">
      <c r="A109" s="110"/>
      <c r="B109" s="110"/>
      <c r="C109" s="110"/>
      <c r="D109" s="110"/>
      <c r="E109" s="110"/>
      <c r="F109" s="110"/>
      <c r="G109" s="110"/>
      <c r="P109" s="102"/>
      <c r="Q109" s="102"/>
      <c r="R109" s="102"/>
    </row>
    <row r="110" spans="1:18">
      <c r="A110" s="110"/>
      <c r="B110" s="110"/>
      <c r="C110" s="110"/>
      <c r="D110" s="110"/>
      <c r="E110" s="110"/>
      <c r="F110" s="110"/>
      <c r="G110" s="110"/>
      <c r="P110" s="102"/>
      <c r="Q110" s="102"/>
      <c r="R110" s="102"/>
    </row>
    <row r="111" spans="1:18">
      <c r="A111" s="110"/>
      <c r="B111" s="110"/>
      <c r="C111" s="110"/>
      <c r="D111" s="110"/>
      <c r="E111" s="110"/>
      <c r="F111" s="110"/>
      <c r="G111" s="110"/>
      <c r="P111" s="102"/>
      <c r="Q111" s="102"/>
      <c r="R111" s="102"/>
    </row>
    <row r="112" spans="1:18">
      <c r="A112" s="110"/>
      <c r="B112" s="110"/>
      <c r="C112" s="110"/>
      <c r="D112" s="110"/>
      <c r="E112" s="110"/>
      <c r="F112" s="110"/>
      <c r="G112" s="110"/>
      <c r="P112" s="102"/>
      <c r="Q112" s="102"/>
      <c r="R112" s="102"/>
    </row>
    <row r="113" spans="1:18">
      <c r="A113" s="110"/>
      <c r="B113" s="110"/>
      <c r="C113" s="110"/>
      <c r="D113" s="110"/>
      <c r="E113" s="110"/>
      <c r="F113" s="110"/>
      <c r="G113" s="110"/>
      <c r="P113" s="102"/>
      <c r="Q113" s="102"/>
      <c r="R113" s="102"/>
    </row>
    <row r="114" spans="1:18">
      <c r="A114" s="110"/>
      <c r="B114" s="110"/>
      <c r="C114" s="110"/>
      <c r="D114" s="110"/>
      <c r="E114" s="110"/>
      <c r="F114" s="110"/>
      <c r="G114" s="110"/>
      <c r="P114" s="102"/>
      <c r="Q114" s="102"/>
      <c r="R114" s="102"/>
    </row>
    <row r="115" spans="1:18">
      <c r="A115" s="110"/>
      <c r="B115" s="110"/>
      <c r="C115" s="110"/>
      <c r="D115" s="110"/>
      <c r="E115" s="110"/>
      <c r="F115" s="110"/>
      <c r="G115" s="110"/>
      <c r="P115" s="102"/>
      <c r="Q115" s="102"/>
      <c r="R115" s="102"/>
    </row>
    <row r="116" spans="1:18">
      <c r="A116" s="110"/>
      <c r="B116" s="110"/>
      <c r="C116" s="110"/>
      <c r="D116" s="110"/>
      <c r="E116" s="110"/>
      <c r="F116" s="110"/>
      <c r="G116" s="110"/>
      <c r="P116" s="102"/>
      <c r="Q116" s="102"/>
      <c r="R116" s="102"/>
    </row>
    <row r="117" spans="1:18">
      <c r="A117" s="110"/>
      <c r="B117" s="110"/>
      <c r="C117" s="110"/>
      <c r="D117" s="110"/>
      <c r="E117" s="110"/>
      <c r="F117" s="110"/>
      <c r="G117" s="110"/>
      <c r="P117" s="102"/>
      <c r="Q117" s="102"/>
      <c r="R117" s="102"/>
    </row>
    <row r="118" spans="1:18">
      <c r="A118" s="110"/>
      <c r="B118" s="110"/>
      <c r="C118" s="110"/>
      <c r="D118" s="110"/>
      <c r="E118" s="110"/>
      <c r="F118" s="110"/>
      <c r="G118" s="110"/>
      <c r="P118" s="102"/>
      <c r="Q118" s="102"/>
      <c r="R118" s="102"/>
    </row>
    <row r="119" spans="1:18">
      <c r="A119" s="110"/>
      <c r="B119" s="110"/>
      <c r="C119" s="110"/>
      <c r="D119" s="110"/>
      <c r="E119" s="110"/>
      <c r="F119" s="110"/>
      <c r="G119" s="110"/>
      <c r="P119" s="102"/>
      <c r="Q119" s="102"/>
      <c r="R119" s="102"/>
    </row>
    <row r="120" spans="1:18">
      <c r="A120" s="110"/>
      <c r="B120" s="110"/>
      <c r="C120" s="110"/>
      <c r="D120" s="110"/>
      <c r="E120" s="110"/>
      <c r="F120" s="110"/>
      <c r="G120" s="110"/>
      <c r="P120" s="102"/>
      <c r="Q120" s="102"/>
      <c r="R120" s="102"/>
    </row>
    <row r="121" spans="1:18">
      <c r="A121" s="110"/>
      <c r="B121" s="110"/>
      <c r="C121" s="110"/>
      <c r="D121" s="110"/>
      <c r="E121" s="110"/>
      <c r="F121" s="110"/>
      <c r="G121" s="110"/>
      <c r="P121" s="102"/>
      <c r="Q121" s="102"/>
      <c r="R121" s="102"/>
    </row>
    <row r="122" spans="1:18">
      <c r="A122" s="110"/>
      <c r="B122" s="110"/>
      <c r="C122" s="110"/>
      <c r="D122" s="110"/>
      <c r="E122" s="110"/>
      <c r="F122" s="110"/>
      <c r="G122" s="110"/>
      <c r="P122" s="102"/>
      <c r="Q122" s="102"/>
      <c r="R122" s="102"/>
    </row>
    <row r="123" spans="1:18">
      <c r="A123" s="110"/>
      <c r="B123" s="110"/>
      <c r="C123" s="110"/>
      <c r="D123" s="110"/>
      <c r="E123" s="110"/>
      <c r="F123" s="110"/>
      <c r="G123" s="110"/>
      <c r="P123" s="102"/>
      <c r="Q123" s="102"/>
      <c r="R123" s="102"/>
    </row>
    <row r="124" spans="1:18">
      <c r="A124" s="110"/>
      <c r="B124" s="110"/>
      <c r="C124" s="110"/>
      <c r="D124" s="110"/>
      <c r="E124" s="110"/>
      <c r="F124" s="110"/>
      <c r="G124" s="110"/>
      <c r="P124" s="102"/>
      <c r="Q124" s="102"/>
      <c r="R124" s="102"/>
    </row>
    <row r="125" spans="1:18">
      <c r="A125" s="110"/>
      <c r="B125" s="110"/>
      <c r="C125" s="110"/>
      <c r="D125" s="110"/>
      <c r="E125" s="110"/>
      <c r="F125" s="110"/>
      <c r="G125" s="110"/>
      <c r="P125" s="102"/>
      <c r="Q125" s="102"/>
      <c r="R125" s="102"/>
    </row>
    <row r="126" spans="1:18">
      <c r="A126" s="110"/>
      <c r="B126" s="110"/>
      <c r="C126" s="110"/>
      <c r="D126" s="110"/>
      <c r="E126" s="110"/>
      <c r="F126" s="110"/>
      <c r="G126" s="110"/>
      <c r="P126" s="102"/>
      <c r="Q126" s="102"/>
      <c r="R126" s="102"/>
    </row>
    <row r="127" spans="1:18">
      <c r="A127" s="110"/>
      <c r="B127" s="110"/>
      <c r="C127" s="110"/>
      <c r="D127" s="110"/>
      <c r="E127" s="110"/>
      <c r="F127" s="110"/>
      <c r="G127" s="110"/>
      <c r="P127" s="102"/>
      <c r="Q127" s="102"/>
      <c r="R127" s="102"/>
    </row>
    <row r="128" spans="1:18">
      <c r="A128" s="110"/>
      <c r="B128" s="110"/>
      <c r="C128" s="110"/>
      <c r="D128" s="110"/>
      <c r="E128" s="110"/>
      <c r="F128" s="110"/>
      <c r="G128" s="110"/>
      <c r="P128" s="102"/>
      <c r="Q128" s="102"/>
      <c r="R128" s="102"/>
    </row>
    <row r="129" spans="1:18">
      <c r="A129" s="110"/>
      <c r="B129" s="110"/>
      <c r="C129" s="110"/>
      <c r="D129" s="110"/>
      <c r="E129" s="110"/>
      <c r="F129" s="110"/>
      <c r="G129" s="110"/>
      <c r="P129" s="102"/>
      <c r="Q129" s="102"/>
      <c r="R129" s="102"/>
    </row>
    <row r="130" spans="1:18">
      <c r="A130" s="110"/>
      <c r="B130" s="110"/>
      <c r="C130" s="110"/>
      <c r="D130" s="110"/>
      <c r="E130" s="110"/>
      <c r="F130" s="110"/>
      <c r="G130" s="110"/>
      <c r="P130" s="102"/>
      <c r="Q130" s="102"/>
      <c r="R130" s="102"/>
    </row>
    <row r="131" spans="1:18">
      <c r="A131" s="110"/>
      <c r="B131" s="110"/>
      <c r="C131" s="110"/>
      <c r="D131" s="110"/>
      <c r="E131" s="110"/>
      <c r="F131" s="110"/>
      <c r="G131" s="110"/>
      <c r="P131" s="102"/>
      <c r="Q131" s="102"/>
      <c r="R131" s="102"/>
    </row>
    <row r="132" spans="1:18">
      <c r="A132" s="110"/>
      <c r="B132" s="110"/>
      <c r="C132" s="110"/>
      <c r="D132" s="110"/>
      <c r="E132" s="110"/>
      <c r="F132" s="110"/>
      <c r="G132" s="110"/>
      <c r="P132" s="102"/>
      <c r="Q132" s="102"/>
      <c r="R132" s="102"/>
    </row>
    <row r="133" spans="1:18">
      <c r="A133" s="110"/>
      <c r="B133" s="110"/>
      <c r="C133" s="110"/>
      <c r="D133" s="110"/>
      <c r="E133" s="110"/>
      <c r="F133" s="110"/>
      <c r="G133" s="110"/>
      <c r="P133" s="102"/>
      <c r="Q133" s="102"/>
      <c r="R133" s="102"/>
    </row>
    <row r="134" spans="1:18">
      <c r="A134" s="110"/>
      <c r="B134" s="110"/>
      <c r="C134" s="110"/>
      <c r="D134" s="110"/>
      <c r="E134" s="110"/>
      <c r="F134" s="110"/>
      <c r="G134" s="110"/>
      <c r="P134" s="102"/>
      <c r="Q134" s="102"/>
      <c r="R134" s="102"/>
    </row>
    <row r="135" spans="1:18">
      <c r="A135" s="110"/>
      <c r="B135" s="110"/>
      <c r="C135" s="110"/>
      <c r="D135" s="110"/>
      <c r="E135" s="110"/>
      <c r="F135" s="110"/>
      <c r="G135" s="110"/>
      <c r="P135" s="102"/>
      <c r="Q135" s="102"/>
      <c r="R135" s="102"/>
    </row>
    <row r="136" spans="1:18">
      <c r="A136" s="110"/>
      <c r="B136" s="110"/>
      <c r="C136" s="110"/>
      <c r="D136" s="110"/>
      <c r="E136" s="110"/>
      <c r="F136" s="110"/>
      <c r="G136" s="110"/>
      <c r="P136" s="102"/>
      <c r="Q136" s="102"/>
      <c r="R136" s="102"/>
    </row>
    <row r="137" spans="1:18">
      <c r="A137" s="110"/>
      <c r="B137" s="110"/>
      <c r="C137" s="110"/>
      <c r="D137" s="110"/>
      <c r="E137" s="110"/>
      <c r="F137" s="110"/>
      <c r="G137" s="110"/>
      <c r="P137" s="102"/>
      <c r="Q137" s="102"/>
      <c r="R137" s="102"/>
    </row>
    <row r="138" spans="1:18">
      <c r="A138" s="110"/>
      <c r="B138" s="110"/>
      <c r="C138" s="110"/>
      <c r="D138" s="110"/>
      <c r="E138" s="110"/>
      <c r="F138" s="110"/>
      <c r="G138" s="110"/>
      <c r="P138" s="102"/>
      <c r="Q138" s="102"/>
      <c r="R138" s="102"/>
    </row>
    <row r="139" spans="1:18">
      <c r="A139" s="110"/>
      <c r="B139" s="110"/>
      <c r="C139" s="110"/>
      <c r="D139" s="110"/>
      <c r="E139" s="110"/>
      <c r="F139" s="110"/>
      <c r="G139" s="110"/>
      <c r="P139" s="102"/>
      <c r="Q139" s="102"/>
      <c r="R139" s="102"/>
    </row>
    <row r="140" spans="1:18">
      <c r="A140" s="110"/>
      <c r="B140" s="110"/>
      <c r="C140" s="110"/>
      <c r="D140" s="110"/>
      <c r="E140" s="110"/>
      <c r="F140" s="110"/>
      <c r="G140" s="110"/>
      <c r="P140" s="102"/>
      <c r="Q140" s="102"/>
      <c r="R140" s="102"/>
    </row>
    <row r="141" spans="1:18">
      <c r="A141" s="110"/>
      <c r="B141" s="110"/>
      <c r="C141" s="110"/>
      <c r="D141" s="110"/>
      <c r="E141" s="110"/>
      <c r="F141" s="110"/>
      <c r="G141" s="110"/>
      <c r="P141" s="102"/>
      <c r="Q141" s="102"/>
      <c r="R141" s="102"/>
    </row>
    <row r="142" spans="1:18">
      <c r="A142" s="110"/>
      <c r="B142" s="110"/>
      <c r="C142" s="110"/>
      <c r="D142" s="110"/>
      <c r="E142" s="110"/>
      <c r="F142" s="110"/>
      <c r="G142" s="110"/>
      <c r="P142" s="102"/>
      <c r="Q142" s="102"/>
      <c r="R142" s="102"/>
    </row>
    <row r="143" spans="1:18">
      <c r="A143" s="110"/>
      <c r="B143" s="110"/>
      <c r="C143" s="110"/>
      <c r="D143" s="110"/>
      <c r="E143" s="110"/>
      <c r="F143" s="110"/>
      <c r="G143" s="110"/>
      <c r="P143" s="102"/>
      <c r="Q143" s="102"/>
      <c r="R143" s="102"/>
    </row>
    <row r="144" spans="1:18">
      <c r="A144" s="110"/>
      <c r="B144" s="110"/>
      <c r="C144" s="110"/>
      <c r="D144" s="110"/>
      <c r="E144" s="110"/>
      <c r="F144" s="110"/>
      <c r="G144" s="110"/>
      <c r="P144" s="102"/>
      <c r="Q144" s="102"/>
      <c r="R144" s="102"/>
    </row>
    <row r="145" spans="1:18">
      <c r="A145" s="110"/>
      <c r="B145" s="110"/>
      <c r="C145" s="110"/>
      <c r="D145" s="110"/>
      <c r="E145" s="110"/>
      <c r="F145" s="110"/>
      <c r="G145" s="110"/>
      <c r="P145" s="102"/>
      <c r="Q145" s="102"/>
      <c r="R145" s="102"/>
    </row>
    <row r="146" spans="1:18">
      <c r="A146" s="110"/>
      <c r="B146" s="110"/>
      <c r="C146" s="110"/>
      <c r="D146" s="110"/>
      <c r="E146" s="110"/>
      <c r="F146" s="110"/>
      <c r="G146" s="110"/>
      <c r="P146" s="102"/>
      <c r="Q146" s="102"/>
      <c r="R146" s="102"/>
    </row>
    <row r="147" spans="1:18">
      <c r="A147" s="110"/>
      <c r="B147" s="110"/>
      <c r="C147" s="110"/>
      <c r="D147" s="110"/>
      <c r="E147" s="110"/>
      <c r="F147" s="110"/>
      <c r="G147" s="110"/>
      <c r="P147" s="102"/>
      <c r="Q147" s="102"/>
      <c r="R147" s="102"/>
    </row>
    <row r="148" spans="1:18">
      <c r="A148" s="110"/>
      <c r="B148" s="110"/>
      <c r="C148" s="110"/>
      <c r="D148" s="110"/>
      <c r="E148" s="110"/>
      <c r="F148" s="110"/>
      <c r="G148" s="110"/>
      <c r="P148" s="102"/>
      <c r="Q148" s="102"/>
      <c r="R148" s="102"/>
    </row>
    <row r="149" spans="1:18">
      <c r="A149" s="110"/>
      <c r="B149" s="110"/>
      <c r="C149" s="110"/>
      <c r="D149" s="110"/>
      <c r="E149" s="110"/>
      <c r="F149" s="110"/>
      <c r="G149" s="110"/>
      <c r="P149" s="102"/>
      <c r="Q149" s="102"/>
      <c r="R149" s="102"/>
    </row>
    <row r="150" spans="1:18">
      <c r="A150" s="110"/>
      <c r="B150" s="110"/>
      <c r="C150" s="110"/>
      <c r="D150" s="110"/>
      <c r="E150" s="110"/>
      <c r="F150" s="110"/>
      <c r="G150" s="110"/>
      <c r="P150" s="102"/>
      <c r="Q150" s="102"/>
      <c r="R150" s="102"/>
    </row>
    <row r="151" spans="1:18">
      <c r="A151" s="110"/>
      <c r="B151" s="110"/>
      <c r="C151" s="110"/>
      <c r="D151" s="110"/>
      <c r="E151" s="110"/>
      <c r="F151" s="110"/>
      <c r="G151" s="110"/>
      <c r="P151" s="102"/>
      <c r="Q151" s="102"/>
      <c r="R151" s="102"/>
    </row>
    <row r="152" spans="1:18">
      <c r="A152" s="110"/>
      <c r="B152" s="110"/>
      <c r="C152" s="110"/>
      <c r="D152" s="110"/>
      <c r="E152" s="110"/>
      <c r="F152" s="110"/>
      <c r="G152" s="110"/>
      <c r="P152" s="102"/>
      <c r="Q152" s="102"/>
      <c r="R152" s="102"/>
    </row>
    <row r="153" spans="1:18">
      <c r="A153" s="110"/>
      <c r="B153" s="110"/>
      <c r="C153" s="110"/>
      <c r="D153" s="110"/>
      <c r="E153" s="110"/>
      <c r="F153" s="110"/>
      <c r="G153" s="110"/>
      <c r="P153" s="102"/>
      <c r="Q153" s="102"/>
      <c r="R153" s="102"/>
    </row>
    <row r="154" spans="1:18">
      <c r="A154" s="110"/>
      <c r="B154" s="110"/>
      <c r="C154" s="110"/>
      <c r="D154" s="110"/>
      <c r="E154" s="110"/>
      <c r="F154" s="110"/>
      <c r="G154" s="110"/>
      <c r="P154" s="102"/>
      <c r="Q154" s="102"/>
      <c r="R154" s="102"/>
    </row>
    <row r="155" spans="1:18">
      <c r="A155" s="110"/>
      <c r="B155" s="110"/>
      <c r="C155" s="110"/>
      <c r="D155" s="110"/>
      <c r="E155" s="110"/>
      <c r="F155" s="110"/>
      <c r="G155" s="110"/>
      <c r="P155" s="102"/>
      <c r="Q155" s="102"/>
      <c r="R155" s="102"/>
    </row>
    <row r="156" spans="1:18">
      <c r="A156" s="110"/>
      <c r="B156" s="110"/>
      <c r="C156" s="110"/>
      <c r="D156" s="110"/>
      <c r="E156" s="110"/>
      <c r="F156" s="110"/>
      <c r="G156" s="110"/>
      <c r="P156" s="102"/>
      <c r="Q156" s="102"/>
      <c r="R156" s="102"/>
    </row>
    <row r="157" spans="1:18">
      <c r="A157" s="110"/>
      <c r="B157" s="110"/>
      <c r="C157" s="110"/>
      <c r="D157" s="110"/>
      <c r="E157" s="110"/>
      <c r="F157" s="110"/>
      <c r="G157" s="110"/>
      <c r="P157" s="102"/>
      <c r="Q157" s="102"/>
      <c r="R157" s="102"/>
    </row>
    <row r="158" spans="1:18">
      <c r="A158" s="110"/>
      <c r="B158" s="110"/>
      <c r="C158" s="110"/>
      <c r="D158" s="110"/>
      <c r="E158" s="110"/>
      <c r="F158" s="110"/>
      <c r="G158" s="110"/>
      <c r="P158" s="102"/>
      <c r="Q158" s="102"/>
      <c r="R158" s="102"/>
    </row>
    <row r="159" spans="1:18">
      <c r="A159" s="110"/>
      <c r="B159" s="110"/>
      <c r="C159" s="110"/>
      <c r="D159" s="110"/>
      <c r="E159" s="110"/>
      <c r="F159" s="110"/>
      <c r="G159" s="110"/>
      <c r="P159" s="102"/>
      <c r="Q159" s="102"/>
      <c r="R159" s="102"/>
    </row>
    <row r="160" spans="1:18">
      <c r="A160" s="110"/>
      <c r="B160" s="110"/>
      <c r="C160" s="110"/>
      <c r="D160" s="110"/>
      <c r="E160" s="110"/>
      <c r="F160" s="110"/>
      <c r="G160" s="110"/>
      <c r="P160" s="102"/>
      <c r="Q160" s="102"/>
      <c r="R160" s="102"/>
    </row>
    <row r="161" spans="1:18">
      <c r="A161" s="110"/>
      <c r="B161" s="110"/>
      <c r="C161" s="110"/>
      <c r="D161" s="110"/>
      <c r="E161" s="110"/>
      <c r="F161" s="110"/>
      <c r="G161" s="110"/>
      <c r="P161" s="102"/>
      <c r="Q161" s="102"/>
      <c r="R161" s="102"/>
    </row>
    <row r="162" spans="1:18">
      <c r="A162" s="110"/>
      <c r="B162" s="110"/>
      <c r="C162" s="110"/>
      <c r="D162" s="110"/>
      <c r="E162" s="110"/>
      <c r="F162" s="110"/>
      <c r="G162" s="110"/>
      <c r="P162" s="102"/>
      <c r="Q162" s="102"/>
      <c r="R162" s="102"/>
    </row>
    <row r="163" spans="1:18">
      <c r="A163" s="110"/>
      <c r="B163" s="110"/>
      <c r="C163" s="110"/>
      <c r="D163" s="110"/>
      <c r="E163" s="110"/>
      <c r="F163" s="110"/>
      <c r="G163" s="110"/>
      <c r="P163" s="102"/>
      <c r="Q163" s="102"/>
      <c r="R163" s="102"/>
    </row>
    <row r="164" spans="1:18">
      <c r="A164" s="110"/>
      <c r="B164" s="110"/>
      <c r="C164" s="110"/>
      <c r="D164" s="110"/>
      <c r="E164" s="110"/>
      <c r="F164" s="110"/>
      <c r="G164" s="110"/>
      <c r="P164" s="102"/>
      <c r="Q164" s="102"/>
      <c r="R164" s="102"/>
    </row>
    <row r="165" spans="1:18">
      <c r="A165" s="110"/>
      <c r="B165" s="110"/>
      <c r="C165" s="110"/>
      <c r="D165" s="110"/>
      <c r="E165" s="110"/>
      <c r="F165" s="110"/>
      <c r="G165" s="110"/>
      <c r="P165" s="102"/>
      <c r="Q165" s="102"/>
      <c r="R165" s="102"/>
    </row>
    <row r="166" spans="1:18">
      <c r="A166" s="110"/>
      <c r="B166" s="110"/>
      <c r="C166" s="110"/>
      <c r="D166" s="110"/>
      <c r="E166" s="110"/>
      <c r="F166" s="110"/>
      <c r="G166" s="110"/>
      <c r="P166" s="102"/>
      <c r="Q166" s="102"/>
      <c r="R166" s="102"/>
    </row>
    <row r="167" spans="1:18">
      <c r="A167" s="110"/>
      <c r="B167" s="110"/>
      <c r="C167" s="110"/>
      <c r="D167" s="110"/>
      <c r="E167" s="110"/>
      <c r="F167" s="110"/>
      <c r="G167" s="110"/>
      <c r="P167" s="102"/>
      <c r="Q167" s="102"/>
      <c r="R167" s="102"/>
    </row>
    <row r="168" spans="1:18">
      <c r="A168" s="110"/>
      <c r="B168" s="110"/>
      <c r="C168" s="110"/>
      <c r="D168" s="110"/>
      <c r="E168" s="110"/>
      <c r="F168" s="110"/>
      <c r="G168" s="110"/>
      <c r="P168" s="102"/>
      <c r="Q168" s="102"/>
      <c r="R168" s="102"/>
    </row>
    <row r="169" spans="1:18">
      <c r="A169" s="110"/>
      <c r="B169" s="110"/>
      <c r="C169" s="110"/>
      <c r="D169" s="110"/>
      <c r="E169" s="110"/>
      <c r="F169" s="110"/>
      <c r="G169" s="110"/>
      <c r="P169" s="102"/>
      <c r="Q169" s="102"/>
      <c r="R169" s="102"/>
    </row>
    <row r="170" spans="1:18">
      <c r="A170" s="110"/>
      <c r="B170" s="110"/>
      <c r="C170" s="110"/>
      <c r="D170" s="110"/>
      <c r="E170" s="110"/>
      <c r="F170" s="110"/>
      <c r="G170" s="110"/>
      <c r="P170" s="102"/>
      <c r="Q170" s="102"/>
      <c r="R170" s="102"/>
    </row>
    <row r="171" spans="1:18">
      <c r="A171" s="110"/>
      <c r="B171" s="110"/>
      <c r="C171" s="110"/>
      <c r="D171" s="110"/>
      <c r="E171" s="110"/>
      <c r="F171" s="110"/>
      <c r="G171" s="110"/>
      <c r="P171" s="102"/>
      <c r="Q171" s="102"/>
      <c r="R171" s="102"/>
    </row>
    <row r="172" spans="1:18">
      <c r="A172" s="110"/>
      <c r="B172" s="110"/>
      <c r="C172" s="110"/>
      <c r="D172" s="110"/>
      <c r="E172" s="110"/>
      <c r="F172" s="110"/>
      <c r="G172" s="110"/>
      <c r="P172" s="102"/>
      <c r="Q172" s="102"/>
      <c r="R172" s="102"/>
    </row>
    <row r="173" spans="1:18">
      <c r="A173" s="110"/>
      <c r="B173" s="110"/>
      <c r="C173" s="110"/>
      <c r="D173" s="110"/>
      <c r="E173" s="110"/>
      <c r="F173" s="110"/>
      <c r="G173" s="110"/>
      <c r="P173" s="102"/>
      <c r="Q173" s="102"/>
      <c r="R173" s="102"/>
    </row>
    <row r="174" spans="1:18">
      <c r="A174" s="110"/>
      <c r="B174" s="110"/>
      <c r="C174" s="110"/>
      <c r="D174" s="110"/>
      <c r="E174" s="110"/>
      <c r="F174" s="110"/>
      <c r="G174" s="110"/>
      <c r="P174" s="102"/>
      <c r="Q174" s="102"/>
      <c r="R174" s="102"/>
    </row>
    <row r="175" spans="1:18">
      <c r="A175" s="110"/>
      <c r="B175" s="110"/>
      <c r="C175" s="110"/>
      <c r="D175" s="110"/>
      <c r="E175" s="110"/>
      <c r="F175" s="110"/>
      <c r="G175" s="110"/>
      <c r="P175" s="102"/>
      <c r="Q175" s="102"/>
      <c r="R175" s="102"/>
    </row>
    <row r="176" spans="1:18">
      <c r="A176" s="110"/>
      <c r="B176" s="110"/>
      <c r="C176" s="110"/>
      <c r="D176" s="110"/>
      <c r="E176" s="110"/>
      <c r="F176" s="110"/>
      <c r="G176" s="110"/>
      <c r="P176" s="102"/>
      <c r="Q176" s="102"/>
      <c r="R176" s="102"/>
    </row>
    <row r="177" spans="1:18">
      <c r="A177" s="110"/>
      <c r="B177" s="110"/>
      <c r="C177" s="110"/>
      <c r="D177" s="110"/>
      <c r="E177" s="110"/>
      <c r="F177" s="110"/>
      <c r="G177" s="110"/>
      <c r="P177" s="102"/>
      <c r="Q177" s="102"/>
      <c r="R177" s="102"/>
    </row>
    <row r="178" spans="1:18">
      <c r="A178" s="110"/>
      <c r="B178" s="110"/>
      <c r="C178" s="110"/>
      <c r="D178" s="110"/>
      <c r="E178" s="110"/>
      <c r="F178" s="110"/>
      <c r="G178" s="110"/>
      <c r="P178" s="102"/>
      <c r="Q178" s="102"/>
      <c r="R178" s="102"/>
    </row>
    <row r="179" spans="1:18">
      <c r="A179" s="110"/>
      <c r="B179" s="110"/>
      <c r="C179" s="110"/>
      <c r="D179" s="110"/>
      <c r="E179" s="110"/>
      <c r="F179" s="110"/>
      <c r="G179" s="110"/>
      <c r="P179" s="102"/>
      <c r="Q179" s="102"/>
      <c r="R179" s="102"/>
    </row>
    <row r="180" spans="1:18">
      <c r="A180" s="110"/>
      <c r="B180" s="110"/>
      <c r="C180" s="110"/>
      <c r="D180" s="110"/>
      <c r="E180" s="110"/>
      <c r="F180" s="110"/>
      <c r="G180" s="110"/>
      <c r="P180" s="102"/>
      <c r="Q180" s="102"/>
      <c r="R180" s="102"/>
    </row>
    <row r="181" spans="1:18">
      <c r="A181" s="110"/>
      <c r="B181" s="110"/>
      <c r="C181" s="110"/>
      <c r="D181" s="110"/>
      <c r="E181" s="110"/>
      <c r="F181" s="110"/>
      <c r="G181" s="110"/>
      <c r="P181" s="102"/>
      <c r="Q181" s="102"/>
      <c r="R181" s="102"/>
    </row>
    <row r="182" spans="1:18">
      <c r="A182" s="110"/>
      <c r="B182" s="110"/>
      <c r="C182" s="110"/>
      <c r="D182" s="110"/>
      <c r="E182" s="110"/>
      <c r="F182" s="110"/>
      <c r="G182" s="110"/>
      <c r="P182" s="102"/>
      <c r="Q182" s="102"/>
      <c r="R182" s="102"/>
    </row>
    <row r="183" spans="1:18">
      <c r="A183" s="110"/>
      <c r="B183" s="110"/>
      <c r="C183" s="110"/>
      <c r="D183" s="110"/>
      <c r="E183" s="110"/>
      <c r="F183" s="110"/>
      <c r="G183" s="110"/>
      <c r="P183" s="102"/>
      <c r="Q183" s="102"/>
      <c r="R183" s="102"/>
    </row>
    <row r="184" spans="1:18">
      <c r="A184" s="110"/>
      <c r="B184" s="110"/>
      <c r="C184" s="110"/>
      <c r="D184" s="110"/>
      <c r="E184" s="110"/>
      <c r="F184" s="110"/>
      <c r="G184" s="110"/>
      <c r="P184" s="102"/>
      <c r="Q184" s="102"/>
      <c r="R184" s="102"/>
    </row>
    <row r="185" spans="1:18">
      <c r="A185" s="110"/>
      <c r="B185" s="110"/>
      <c r="C185" s="110"/>
      <c r="D185" s="110"/>
      <c r="E185" s="110"/>
      <c r="F185" s="110"/>
      <c r="G185" s="110"/>
      <c r="P185" s="102"/>
      <c r="Q185" s="102"/>
      <c r="R185" s="102"/>
    </row>
    <row r="186" spans="1:18">
      <c r="A186" s="110"/>
      <c r="B186" s="110"/>
      <c r="C186" s="110"/>
      <c r="D186" s="110"/>
      <c r="E186" s="110"/>
      <c r="F186" s="110"/>
      <c r="G186" s="110"/>
      <c r="P186" s="102"/>
      <c r="Q186" s="102"/>
      <c r="R186" s="102"/>
    </row>
    <row r="187" spans="1:18">
      <c r="A187" s="110"/>
      <c r="B187" s="110"/>
      <c r="C187" s="110"/>
      <c r="D187" s="110"/>
      <c r="E187" s="110"/>
      <c r="F187" s="110"/>
      <c r="G187" s="110"/>
      <c r="P187" s="102"/>
      <c r="Q187" s="102"/>
      <c r="R187" s="102"/>
    </row>
    <row r="188" spans="1:18">
      <c r="A188" s="110"/>
      <c r="B188" s="110"/>
      <c r="C188" s="110"/>
      <c r="D188" s="110"/>
      <c r="E188" s="110"/>
      <c r="F188" s="110"/>
      <c r="G188" s="110"/>
      <c r="P188" s="102"/>
      <c r="Q188" s="102"/>
      <c r="R188" s="102"/>
    </row>
    <row r="189" spans="1:18">
      <c r="A189" s="110"/>
      <c r="B189" s="110"/>
      <c r="C189" s="110"/>
      <c r="D189" s="110"/>
      <c r="E189" s="110"/>
      <c r="F189" s="110"/>
      <c r="G189" s="110"/>
      <c r="P189" s="102"/>
      <c r="Q189" s="102"/>
      <c r="R189" s="102"/>
    </row>
    <row r="190" spans="1:18">
      <c r="A190" s="110"/>
      <c r="B190" s="110"/>
      <c r="C190" s="110"/>
      <c r="D190" s="110"/>
      <c r="E190" s="110"/>
      <c r="F190" s="110"/>
      <c r="G190" s="110"/>
      <c r="P190" s="102"/>
      <c r="Q190" s="102"/>
      <c r="R190" s="102"/>
    </row>
    <row r="191" spans="1:18">
      <c r="A191" s="110"/>
      <c r="B191" s="110"/>
      <c r="C191" s="110"/>
      <c r="D191" s="110"/>
      <c r="E191" s="110"/>
      <c r="F191" s="110"/>
      <c r="G191" s="110"/>
      <c r="P191" s="102"/>
      <c r="Q191" s="102"/>
      <c r="R191" s="102"/>
    </row>
    <row r="192" spans="1:18">
      <c r="A192" s="110"/>
      <c r="B192" s="110"/>
      <c r="C192" s="110"/>
      <c r="D192" s="110"/>
      <c r="E192" s="110"/>
      <c r="F192" s="110"/>
      <c r="G192" s="110"/>
      <c r="P192" s="102"/>
      <c r="Q192" s="102"/>
      <c r="R192" s="102"/>
    </row>
    <row r="193" spans="1:18">
      <c r="A193" s="110"/>
      <c r="B193" s="110"/>
      <c r="C193" s="110"/>
      <c r="D193" s="110"/>
      <c r="E193" s="110"/>
      <c r="F193" s="110"/>
      <c r="G193" s="110"/>
      <c r="P193" s="102"/>
      <c r="Q193" s="102"/>
      <c r="R193" s="102"/>
    </row>
    <row r="194" spans="1:18">
      <c r="A194" s="110"/>
      <c r="B194" s="110"/>
      <c r="C194" s="110"/>
      <c r="D194" s="110"/>
      <c r="E194" s="110"/>
      <c r="F194" s="110"/>
      <c r="G194" s="110"/>
      <c r="P194" s="102"/>
      <c r="Q194" s="102"/>
      <c r="R194" s="102"/>
    </row>
    <row r="195" spans="1:18">
      <c r="A195" s="110"/>
      <c r="B195" s="110"/>
      <c r="C195" s="110"/>
      <c r="D195" s="110"/>
      <c r="E195" s="110"/>
      <c r="F195" s="110"/>
      <c r="G195" s="110"/>
      <c r="P195" s="102"/>
      <c r="Q195" s="102"/>
      <c r="R195" s="102"/>
    </row>
    <row r="196" spans="1:18">
      <c r="A196" s="110"/>
      <c r="B196" s="110"/>
      <c r="C196" s="110"/>
      <c r="D196" s="110"/>
      <c r="E196" s="110"/>
      <c r="F196" s="110"/>
      <c r="G196" s="110"/>
      <c r="P196" s="102"/>
      <c r="Q196" s="102"/>
      <c r="R196" s="102"/>
    </row>
    <row r="197" spans="1:18">
      <c r="A197" s="110"/>
      <c r="B197" s="110"/>
      <c r="C197" s="110"/>
      <c r="D197" s="110"/>
      <c r="E197" s="110"/>
      <c r="F197" s="110"/>
      <c r="G197" s="110"/>
      <c r="P197" s="102"/>
      <c r="Q197" s="102"/>
      <c r="R197" s="102"/>
    </row>
    <row r="198" spans="1:18">
      <c r="A198" s="110"/>
      <c r="B198" s="110"/>
      <c r="C198" s="110"/>
      <c r="D198" s="110"/>
      <c r="E198" s="110"/>
      <c r="F198" s="110"/>
      <c r="G198" s="110"/>
      <c r="P198" s="102"/>
      <c r="Q198" s="102"/>
      <c r="R198" s="102"/>
    </row>
    <row r="199" spans="1:18">
      <c r="A199" s="110"/>
      <c r="B199" s="110"/>
      <c r="C199" s="110"/>
      <c r="D199" s="110"/>
      <c r="E199" s="110"/>
      <c r="F199" s="110"/>
      <c r="G199" s="110"/>
      <c r="P199" s="102"/>
      <c r="Q199" s="102"/>
      <c r="R199" s="102"/>
    </row>
    <row r="200" spans="1:18">
      <c r="A200" s="110"/>
      <c r="B200" s="110"/>
      <c r="C200" s="110"/>
      <c r="D200" s="110"/>
      <c r="E200" s="110"/>
      <c r="F200" s="110"/>
      <c r="G200" s="110"/>
      <c r="P200" s="102"/>
      <c r="Q200" s="102"/>
      <c r="R200" s="102"/>
    </row>
    <row r="201" spans="1:18">
      <c r="A201" s="110"/>
      <c r="B201" s="110"/>
      <c r="C201" s="110"/>
      <c r="D201" s="110"/>
      <c r="E201" s="110"/>
      <c r="F201" s="110"/>
      <c r="G201" s="110"/>
      <c r="P201" s="102"/>
      <c r="Q201" s="102"/>
      <c r="R201" s="102"/>
    </row>
    <row r="202" spans="1:18">
      <c r="A202" s="110"/>
      <c r="B202" s="110"/>
      <c r="C202" s="110"/>
      <c r="D202" s="110"/>
      <c r="E202" s="110"/>
      <c r="F202" s="110"/>
      <c r="G202" s="110"/>
      <c r="P202" s="102"/>
      <c r="Q202" s="102"/>
      <c r="R202" s="102"/>
    </row>
    <row r="203" spans="1:18">
      <c r="A203" s="110"/>
      <c r="B203" s="110"/>
      <c r="C203" s="110"/>
      <c r="D203" s="110"/>
      <c r="E203" s="110"/>
      <c r="F203" s="110"/>
      <c r="G203" s="110"/>
      <c r="P203" s="102"/>
      <c r="Q203" s="102"/>
      <c r="R203" s="102"/>
    </row>
    <row r="204" spans="1:18">
      <c r="A204" s="110"/>
      <c r="B204" s="110"/>
      <c r="C204" s="110"/>
      <c r="D204" s="110"/>
      <c r="E204" s="110"/>
      <c r="F204" s="110"/>
      <c r="G204" s="110"/>
      <c r="P204" s="102"/>
      <c r="Q204" s="102"/>
      <c r="R204" s="102"/>
    </row>
    <row r="205" spans="1:18">
      <c r="A205" s="110"/>
      <c r="B205" s="110"/>
      <c r="C205" s="110"/>
      <c r="D205" s="110"/>
      <c r="E205" s="110"/>
      <c r="F205" s="110"/>
      <c r="G205" s="110"/>
      <c r="P205" s="102"/>
      <c r="Q205" s="102"/>
      <c r="R205" s="102"/>
    </row>
    <row r="206" spans="1:18">
      <c r="A206" s="110"/>
      <c r="B206" s="110"/>
      <c r="C206" s="110"/>
      <c r="D206" s="110"/>
      <c r="E206" s="110"/>
      <c r="F206" s="110"/>
      <c r="G206" s="110"/>
      <c r="P206" s="102"/>
      <c r="Q206" s="102"/>
      <c r="R206" s="102"/>
    </row>
    <row r="207" spans="1:18">
      <c r="A207" s="110"/>
      <c r="B207" s="110"/>
      <c r="C207" s="110"/>
      <c r="D207" s="110"/>
      <c r="E207" s="110"/>
      <c r="F207" s="110"/>
      <c r="G207" s="110"/>
      <c r="P207" s="102"/>
      <c r="Q207" s="102"/>
      <c r="R207" s="102"/>
    </row>
    <row r="208" spans="1:18">
      <c r="A208" s="110"/>
      <c r="B208" s="110"/>
      <c r="C208" s="110"/>
      <c r="D208" s="110"/>
      <c r="E208" s="110"/>
      <c r="F208" s="110"/>
      <c r="G208" s="110"/>
      <c r="P208" s="102"/>
      <c r="Q208" s="102"/>
      <c r="R208" s="102"/>
    </row>
    <row r="209" spans="1:18">
      <c r="A209" s="110"/>
      <c r="B209" s="110"/>
      <c r="C209" s="110"/>
      <c r="D209" s="110"/>
      <c r="E209" s="110"/>
      <c r="F209" s="110"/>
      <c r="G209" s="110"/>
      <c r="P209" s="102"/>
      <c r="Q209" s="102"/>
      <c r="R209" s="102"/>
    </row>
    <row r="210" spans="1:18">
      <c r="A210" s="110"/>
      <c r="B210" s="110"/>
      <c r="C210" s="110"/>
      <c r="D210" s="110"/>
      <c r="E210" s="110"/>
      <c r="F210" s="110"/>
      <c r="G210" s="110"/>
      <c r="P210" s="102"/>
      <c r="Q210" s="102"/>
      <c r="R210" s="102"/>
    </row>
    <row r="211" spans="1:18">
      <c r="A211" s="110"/>
      <c r="B211" s="110"/>
      <c r="C211" s="110"/>
      <c r="D211" s="110"/>
      <c r="E211" s="110"/>
      <c r="F211" s="110"/>
      <c r="G211" s="110"/>
      <c r="P211" s="102"/>
      <c r="Q211" s="102"/>
      <c r="R211" s="102"/>
    </row>
    <row r="212" spans="1:18">
      <c r="A212" s="110"/>
      <c r="B212" s="110"/>
      <c r="C212" s="110"/>
      <c r="D212" s="110"/>
      <c r="E212" s="110"/>
      <c r="F212" s="110"/>
      <c r="G212" s="110"/>
      <c r="P212" s="102"/>
      <c r="Q212" s="102"/>
      <c r="R212" s="102"/>
    </row>
    <row r="213" spans="1:18">
      <c r="A213" s="110"/>
      <c r="B213" s="110"/>
      <c r="C213" s="110"/>
      <c r="D213" s="110"/>
      <c r="E213" s="110"/>
      <c r="F213" s="110"/>
      <c r="G213" s="110"/>
      <c r="P213" s="102"/>
      <c r="Q213" s="102"/>
      <c r="R213" s="102"/>
    </row>
    <row r="214" spans="1:18">
      <c r="A214" s="110"/>
      <c r="B214" s="110"/>
      <c r="C214" s="110"/>
      <c r="D214" s="110"/>
      <c r="E214" s="110"/>
      <c r="F214" s="110"/>
      <c r="G214" s="110"/>
      <c r="P214" s="102"/>
      <c r="Q214" s="102"/>
      <c r="R214" s="102"/>
    </row>
    <row r="215" spans="1:18">
      <c r="A215" s="110"/>
      <c r="B215" s="110"/>
      <c r="C215" s="110"/>
      <c r="D215" s="110"/>
      <c r="E215" s="110"/>
      <c r="F215" s="110"/>
      <c r="G215" s="110"/>
      <c r="P215" s="102"/>
      <c r="Q215" s="102"/>
      <c r="R215" s="102"/>
    </row>
    <row r="216" spans="1:18">
      <c r="A216" s="110"/>
      <c r="B216" s="110"/>
      <c r="C216" s="110"/>
      <c r="D216" s="110"/>
      <c r="E216" s="110"/>
      <c r="F216" s="110"/>
      <c r="G216" s="110"/>
      <c r="P216" s="102"/>
      <c r="Q216" s="102"/>
      <c r="R216" s="102"/>
    </row>
    <row r="217" spans="1:18">
      <c r="A217" s="110"/>
      <c r="B217" s="110"/>
      <c r="C217" s="110"/>
      <c r="D217" s="110"/>
      <c r="E217" s="110"/>
      <c r="F217" s="110"/>
      <c r="G217" s="110"/>
      <c r="P217" s="102"/>
      <c r="Q217" s="102"/>
      <c r="R217" s="102"/>
    </row>
    <row r="218" spans="1:18">
      <c r="A218" s="110"/>
      <c r="B218" s="110"/>
      <c r="C218" s="110"/>
      <c r="D218" s="110"/>
      <c r="E218" s="110"/>
      <c r="F218" s="110"/>
      <c r="G218" s="110"/>
      <c r="P218" s="102"/>
      <c r="Q218" s="102"/>
      <c r="R218" s="102"/>
    </row>
    <row r="219" spans="1:18">
      <c r="A219" s="110"/>
      <c r="B219" s="110"/>
      <c r="C219" s="110"/>
      <c r="D219" s="110"/>
      <c r="E219" s="110"/>
      <c r="F219" s="110"/>
      <c r="G219" s="110"/>
      <c r="P219" s="102"/>
      <c r="Q219" s="102"/>
      <c r="R219" s="102"/>
    </row>
    <row r="220" spans="1:18">
      <c r="A220" s="110"/>
      <c r="B220" s="110"/>
      <c r="C220" s="110"/>
      <c r="D220" s="110"/>
      <c r="E220" s="110"/>
      <c r="F220" s="110"/>
      <c r="G220" s="110"/>
      <c r="P220" s="102"/>
      <c r="Q220" s="102"/>
      <c r="R220" s="102"/>
    </row>
    <row r="221" spans="1:18">
      <c r="A221" s="110"/>
      <c r="B221" s="110"/>
      <c r="C221" s="110"/>
      <c r="D221" s="110"/>
      <c r="E221" s="110"/>
      <c r="F221" s="110"/>
      <c r="G221" s="110"/>
      <c r="P221" s="102"/>
      <c r="Q221" s="102"/>
      <c r="R221" s="102"/>
    </row>
    <row r="222" spans="1:18">
      <c r="A222" s="110"/>
      <c r="B222" s="110"/>
      <c r="C222" s="110"/>
      <c r="D222" s="110"/>
      <c r="E222" s="110"/>
      <c r="F222" s="110"/>
      <c r="G222" s="110"/>
      <c r="P222" s="102"/>
      <c r="Q222" s="102"/>
      <c r="R222" s="102"/>
    </row>
    <row r="223" spans="1:18">
      <c r="A223" s="110"/>
      <c r="B223" s="110"/>
      <c r="C223" s="110"/>
      <c r="D223" s="110"/>
      <c r="E223" s="110"/>
      <c r="F223" s="110"/>
      <c r="G223" s="110"/>
      <c r="P223" s="102"/>
      <c r="Q223" s="102"/>
      <c r="R223" s="102"/>
    </row>
    <row r="224" spans="1:18">
      <c r="A224" s="110"/>
      <c r="B224" s="110"/>
      <c r="C224" s="110"/>
      <c r="D224" s="110"/>
      <c r="E224" s="110"/>
      <c r="F224" s="110"/>
      <c r="G224" s="110"/>
      <c r="P224" s="102"/>
      <c r="Q224" s="102"/>
      <c r="R224" s="102"/>
    </row>
    <row r="225" spans="1:18">
      <c r="A225" s="110"/>
      <c r="B225" s="110"/>
      <c r="C225" s="110"/>
      <c r="D225" s="110"/>
      <c r="E225" s="110"/>
      <c r="F225" s="110"/>
      <c r="G225" s="110"/>
      <c r="P225" s="102"/>
      <c r="Q225" s="102"/>
      <c r="R225" s="102"/>
    </row>
    <row r="226" spans="1:18">
      <c r="A226" s="110"/>
      <c r="B226" s="110"/>
      <c r="C226" s="110"/>
      <c r="D226" s="110"/>
      <c r="E226" s="110"/>
      <c r="F226" s="110"/>
      <c r="G226" s="110"/>
      <c r="P226" s="102"/>
      <c r="Q226" s="102"/>
      <c r="R226" s="102"/>
    </row>
    <row r="227" spans="1:18">
      <c r="A227" s="110"/>
      <c r="B227" s="110"/>
      <c r="C227" s="110"/>
      <c r="D227" s="110"/>
      <c r="E227" s="110"/>
      <c r="F227" s="110"/>
      <c r="G227" s="110"/>
      <c r="P227" s="102"/>
      <c r="Q227" s="102"/>
      <c r="R227" s="102"/>
    </row>
    <row r="228" spans="1:18">
      <c r="A228" s="110"/>
      <c r="B228" s="110"/>
      <c r="C228" s="110"/>
      <c r="D228" s="110"/>
      <c r="E228" s="110"/>
      <c r="F228" s="110"/>
      <c r="G228" s="110"/>
      <c r="P228" s="102"/>
      <c r="Q228" s="102"/>
      <c r="R228" s="102"/>
    </row>
    <row r="229" spans="1:18">
      <c r="A229" s="110"/>
      <c r="B229" s="110"/>
      <c r="C229" s="110"/>
      <c r="D229" s="110"/>
      <c r="E229" s="110"/>
      <c r="F229" s="110"/>
      <c r="G229" s="110"/>
      <c r="P229" s="102"/>
      <c r="Q229" s="102"/>
      <c r="R229" s="102"/>
    </row>
    <row r="230" spans="1:18">
      <c r="A230" s="110"/>
      <c r="B230" s="110"/>
      <c r="C230" s="110"/>
      <c r="D230" s="110"/>
      <c r="E230" s="110"/>
      <c r="F230" s="110"/>
      <c r="G230" s="110"/>
      <c r="P230" s="102"/>
      <c r="Q230" s="102"/>
      <c r="R230" s="102"/>
    </row>
    <row r="231" spans="1:18">
      <c r="A231" s="110"/>
      <c r="B231" s="110"/>
      <c r="C231" s="110"/>
      <c r="D231" s="110"/>
      <c r="E231" s="110"/>
      <c r="F231" s="110"/>
      <c r="G231" s="110"/>
      <c r="P231" s="102"/>
      <c r="Q231" s="102"/>
      <c r="R231" s="102"/>
    </row>
    <row r="232" spans="1:18">
      <c r="A232" s="110"/>
      <c r="B232" s="110"/>
      <c r="C232" s="110"/>
      <c r="D232" s="110"/>
      <c r="E232" s="110"/>
      <c r="F232" s="110"/>
      <c r="G232" s="110"/>
      <c r="P232" s="102"/>
      <c r="Q232" s="102"/>
      <c r="R232" s="102"/>
    </row>
    <row r="233" spans="1:18">
      <c r="A233" s="110"/>
      <c r="B233" s="110"/>
      <c r="C233" s="110"/>
      <c r="D233" s="110"/>
      <c r="E233" s="110"/>
      <c r="F233" s="110"/>
      <c r="G233" s="110"/>
      <c r="P233" s="102"/>
      <c r="Q233" s="102"/>
      <c r="R233" s="102"/>
    </row>
    <row r="234" spans="1:18">
      <c r="A234" s="110"/>
      <c r="B234" s="110"/>
      <c r="C234" s="110"/>
      <c r="D234" s="110"/>
      <c r="E234" s="110"/>
      <c r="F234" s="110"/>
      <c r="G234" s="110"/>
      <c r="P234" s="102"/>
      <c r="Q234" s="102"/>
      <c r="R234" s="102"/>
    </row>
    <row r="235" spans="1:18">
      <c r="A235" s="110"/>
      <c r="B235" s="110"/>
      <c r="C235" s="110"/>
      <c r="D235" s="110"/>
      <c r="E235" s="110"/>
      <c r="F235" s="110"/>
      <c r="G235" s="110"/>
      <c r="P235" s="102"/>
      <c r="Q235" s="102"/>
      <c r="R235" s="102"/>
    </row>
    <row r="236" spans="1:18">
      <c r="A236" s="110"/>
      <c r="B236" s="110"/>
      <c r="C236" s="110"/>
      <c r="D236" s="110"/>
      <c r="E236" s="110"/>
      <c r="F236" s="110"/>
      <c r="G236" s="110"/>
      <c r="P236" s="102"/>
      <c r="Q236" s="102"/>
      <c r="R236" s="102"/>
    </row>
    <row r="237" spans="1:18">
      <c r="A237" s="110"/>
      <c r="B237" s="110"/>
      <c r="C237" s="110"/>
      <c r="D237" s="110"/>
      <c r="E237" s="110"/>
      <c r="F237" s="110"/>
      <c r="G237" s="110"/>
      <c r="P237" s="102"/>
      <c r="Q237" s="102"/>
      <c r="R237" s="102"/>
    </row>
    <row r="238" spans="1:18">
      <c r="A238" s="110"/>
      <c r="B238" s="110"/>
      <c r="C238" s="110"/>
      <c r="D238" s="110"/>
      <c r="E238" s="110"/>
      <c r="F238" s="110"/>
      <c r="G238" s="110"/>
      <c r="P238" s="102"/>
      <c r="Q238" s="102"/>
      <c r="R238" s="102"/>
    </row>
    <row r="239" spans="1:18">
      <c r="A239" s="110"/>
      <c r="B239" s="110"/>
      <c r="C239" s="110"/>
      <c r="D239" s="110"/>
      <c r="E239" s="110"/>
      <c r="F239" s="110"/>
      <c r="G239" s="110"/>
      <c r="P239" s="102"/>
      <c r="Q239" s="102"/>
      <c r="R239" s="102"/>
    </row>
    <row r="240" spans="1:18">
      <c r="A240" s="110"/>
      <c r="B240" s="110"/>
      <c r="C240" s="110"/>
      <c r="D240" s="110"/>
      <c r="E240" s="110"/>
      <c r="F240" s="110"/>
      <c r="G240" s="110"/>
      <c r="P240" s="102"/>
      <c r="Q240" s="102"/>
      <c r="R240" s="102"/>
    </row>
    <row r="241" spans="1:18">
      <c r="A241" s="110"/>
      <c r="B241" s="110"/>
      <c r="C241" s="110"/>
      <c r="D241" s="110"/>
      <c r="E241" s="110"/>
      <c r="F241" s="110"/>
      <c r="G241" s="110"/>
      <c r="P241" s="102"/>
      <c r="Q241" s="102"/>
      <c r="R241" s="102"/>
    </row>
    <row r="242" spans="1:18">
      <c r="A242" s="110"/>
      <c r="B242" s="110"/>
      <c r="C242" s="110"/>
      <c r="D242" s="110"/>
      <c r="E242" s="110"/>
      <c r="F242" s="110"/>
      <c r="G242" s="110"/>
      <c r="P242" s="102"/>
      <c r="Q242" s="102"/>
      <c r="R242" s="102"/>
    </row>
    <row r="243" spans="1:18">
      <c r="A243" s="110"/>
      <c r="B243" s="110"/>
      <c r="C243" s="110"/>
      <c r="D243" s="110"/>
      <c r="E243" s="110"/>
      <c r="F243" s="110"/>
      <c r="G243" s="110"/>
      <c r="P243" s="102"/>
      <c r="Q243" s="102"/>
      <c r="R243" s="102"/>
    </row>
    <row r="244" spans="1:18">
      <c r="A244" s="110"/>
      <c r="B244" s="110"/>
      <c r="C244" s="110"/>
      <c r="D244" s="110"/>
      <c r="E244" s="110"/>
      <c r="F244" s="110"/>
      <c r="G244" s="110"/>
      <c r="P244" s="102"/>
      <c r="Q244" s="102"/>
      <c r="R244" s="102"/>
    </row>
    <row r="245" spans="1:18">
      <c r="A245" s="110"/>
      <c r="B245" s="110"/>
      <c r="C245" s="110"/>
      <c r="D245" s="110"/>
      <c r="E245" s="110"/>
      <c r="F245" s="110"/>
      <c r="G245" s="110"/>
      <c r="P245" s="102"/>
      <c r="Q245" s="102"/>
      <c r="R245" s="102"/>
    </row>
    <row r="246" spans="1:18">
      <c r="A246" s="110"/>
      <c r="B246" s="110"/>
      <c r="C246" s="110"/>
      <c r="D246" s="110"/>
      <c r="E246" s="110"/>
      <c r="F246" s="110"/>
      <c r="G246" s="110"/>
      <c r="P246" s="102"/>
      <c r="Q246" s="102"/>
      <c r="R246" s="102"/>
    </row>
    <row r="247" spans="1:18">
      <c r="A247" s="110"/>
      <c r="B247" s="110"/>
      <c r="C247" s="110"/>
      <c r="D247" s="110"/>
      <c r="E247" s="110"/>
      <c r="F247" s="110"/>
      <c r="G247" s="110"/>
      <c r="P247" s="102"/>
      <c r="Q247" s="102"/>
      <c r="R247" s="102"/>
    </row>
    <row r="248" spans="1:18">
      <c r="A248" s="110"/>
      <c r="B248" s="110"/>
      <c r="C248" s="110"/>
      <c r="D248" s="110"/>
      <c r="E248" s="110"/>
      <c r="F248" s="110"/>
      <c r="G248" s="110"/>
      <c r="P248" s="102"/>
      <c r="Q248" s="102"/>
      <c r="R248" s="102"/>
    </row>
    <row r="249" spans="1:18">
      <c r="A249" s="110"/>
      <c r="B249" s="110"/>
      <c r="C249" s="110"/>
      <c r="D249" s="110"/>
      <c r="E249" s="110"/>
      <c r="F249" s="110"/>
      <c r="G249" s="110"/>
      <c r="P249" s="102"/>
      <c r="Q249" s="102"/>
      <c r="R249" s="102"/>
    </row>
    <row r="250" spans="1:18">
      <c r="A250" s="110"/>
      <c r="B250" s="110"/>
      <c r="C250" s="110"/>
      <c r="D250" s="110"/>
      <c r="E250" s="110"/>
      <c r="F250" s="110"/>
      <c r="G250" s="110"/>
      <c r="P250" s="102"/>
      <c r="Q250" s="102"/>
      <c r="R250" s="102"/>
    </row>
    <row r="251" spans="1:18">
      <c r="A251" s="110"/>
      <c r="B251" s="110"/>
      <c r="C251" s="110"/>
      <c r="D251" s="110"/>
      <c r="E251" s="110"/>
      <c r="F251" s="110"/>
      <c r="G251" s="110"/>
      <c r="P251" s="102"/>
      <c r="Q251" s="102"/>
      <c r="R251" s="102"/>
    </row>
    <row r="252" spans="1:18">
      <c r="A252" s="110"/>
      <c r="B252" s="110"/>
      <c r="C252" s="110"/>
      <c r="D252" s="110"/>
      <c r="E252" s="110"/>
      <c r="F252" s="110"/>
      <c r="G252" s="110"/>
      <c r="P252" s="102"/>
      <c r="Q252" s="102"/>
      <c r="R252" s="102"/>
    </row>
    <row r="253" spans="1:18">
      <c r="A253" s="110"/>
      <c r="B253" s="110"/>
      <c r="C253" s="110"/>
      <c r="D253" s="110"/>
      <c r="E253" s="110"/>
      <c r="F253" s="110"/>
      <c r="G253" s="110"/>
      <c r="P253" s="102"/>
      <c r="Q253" s="102"/>
      <c r="R253" s="102"/>
    </row>
    <row r="254" spans="1:18">
      <c r="A254" s="110"/>
      <c r="B254" s="110"/>
      <c r="C254" s="110"/>
      <c r="D254" s="110"/>
      <c r="E254" s="110"/>
      <c r="F254" s="110"/>
      <c r="G254" s="110"/>
      <c r="P254" s="102"/>
      <c r="Q254" s="102"/>
      <c r="R254" s="102"/>
    </row>
    <row r="255" spans="1:18">
      <c r="A255" s="110"/>
      <c r="B255" s="110"/>
      <c r="C255" s="110"/>
      <c r="D255" s="110"/>
      <c r="E255" s="110"/>
      <c r="F255" s="110"/>
      <c r="G255" s="110"/>
      <c r="P255" s="102"/>
      <c r="Q255" s="102"/>
      <c r="R255" s="102"/>
    </row>
    <row r="256" spans="1:18">
      <c r="A256" s="110"/>
      <c r="B256" s="110"/>
      <c r="C256" s="110"/>
      <c r="D256" s="110"/>
      <c r="E256" s="110"/>
      <c r="F256" s="110"/>
      <c r="G256" s="110"/>
      <c r="P256" s="102"/>
      <c r="Q256" s="102"/>
      <c r="R256" s="102"/>
    </row>
    <row r="257" spans="1:18">
      <c r="A257" s="110"/>
      <c r="B257" s="110"/>
      <c r="C257" s="110"/>
      <c r="D257" s="110"/>
      <c r="E257" s="110"/>
      <c r="F257" s="110"/>
      <c r="G257" s="110"/>
      <c r="P257" s="102"/>
      <c r="Q257" s="102"/>
      <c r="R257" s="102"/>
    </row>
    <row r="258" spans="1:18">
      <c r="A258" s="110"/>
      <c r="B258" s="110"/>
      <c r="C258" s="110"/>
      <c r="D258" s="110"/>
      <c r="E258" s="110"/>
      <c r="F258" s="110"/>
      <c r="G258" s="110"/>
      <c r="P258" s="102"/>
      <c r="Q258" s="102"/>
      <c r="R258" s="102"/>
    </row>
    <row r="259" spans="1:18">
      <c r="A259" s="110"/>
      <c r="B259" s="110"/>
      <c r="C259" s="110"/>
      <c r="D259" s="110"/>
      <c r="E259" s="110"/>
      <c r="F259" s="110"/>
      <c r="G259" s="110"/>
      <c r="P259" s="102"/>
      <c r="Q259" s="102"/>
      <c r="R259" s="102"/>
    </row>
    <row r="260" spans="1:18">
      <c r="A260" s="110"/>
      <c r="B260" s="110"/>
      <c r="C260" s="110"/>
      <c r="D260" s="110"/>
      <c r="E260" s="110"/>
      <c r="F260" s="110"/>
      <c r="G260" s="110"/>
      <c r="P260" s="102"/>
      <c r="Q260" s="102"/>
      <c r="R260" s="102"/>
    </row>
    <row r="261" spans="1:18">
      <c r="A261" s="110"/>
      <c r="B261" s="110"/>
      <c r="C261" s="110"/>
      <c r="D261" s="110"/>
      <c r="E261" s="110"/>
      <c r="F261" s="110"/>
      <c r="G261" s="110"/>
      <c r="P261" s="102"/>
      <c r="Q261" s="102"/>
      <c r="R261" s="102"/>
    </row>
    <row r="262" spans="1:18">
      <c r="A262" s="110"/>
      <c r="B262" s="110"/>
      <c r="C262" s="110"/>
      <c r="D262" s="110"/>
      <c r="E262" s="110"/>
      <c r="F262" s="110"/>
      <c r="G262" s="110"/>
      <c r="P262" s="102"/>
      <c r="Q262" s="102"/>
      <c r="R262" s="102"/>
    </row>
    <row r="263" spans="1:18">
      <c r="A263" s="110"/>
      <c r="B263" s="110"/>
      <c r="C263" s="110"/>
      <c r="D263" s="110"/>
      <c r="E263" s="110"/>
      <c r="F263" s="110"/>
      <c r="G263" s="110"/>
      <c r="P263" s="102"/>
      <c r="Q263" s="102"/>
      <c r="R263" s="102"/>
    </row>
    <row r="264" spans="1:18">
      <c r="A264" s="110"/>
      <c r="B264" s="110"/>
      <c r="C264" s="110"/>
      <c r="D264" s="110"/>
      <c r="E264" s="110"/>
      <c r="F264" s="110"/>
      <c r="G264" s="110"/>
      <c r="P264" s="102"/>
      <c r="Q264" s="102"/>
      <c r="R264" s="102"/>
    </row>
    <row r="265" spans="1:18">
      <c r="A265" s="110"/>
      <c r="B265" s="110"/>
      <c r="C265" s="110"/>
      <c r="D265" s="110"/>
      <c r="E265" s="110"/>
      <c r="F265" s="110"/>
      <c r="G265" s="110"/>
      <c r="P265" s="102"/>
      <c r="Q265" s="102"/>
      <c r="R265" s="102"/>
    </row>
    <row r="266" spans="1:18">
      <c r="A266" s="110"/>
      <c r="B266" s="110"/>
      <c r="C266" s="110"/>
      <c r="D266" s="110"/>
      <c r="E266" s="110"/>
      <c r="F266" s="110"/>
      <c r="G266" s="110"/>
      <c r="P266" s="102"/>
      <c r="Q266" s="102"/>
      <c r="R266" s="102"/>
    </row>
    <row r="267" spans="1:18">
      <c r="A267" s="110"/>
      <c r="B267" s="110"/>
      <c r="C267" s="110"/>
      <c r="D267" s="110"/>
      <c r="E267" s="110"/>
      <c r="F267" s="110"/>
      <c r="G267" s="110"/>
      <c r="P267" s="102"/>
      <c r="Q267" s="102"/>
      <c r="R267" s="102"/>
    </row>
    <row r="268" spans="1:18">
      <c r="A268" s="110"/>
      <c r="B268" s="110"/>
      <c r="C268" s="110"/>
      <c r="D268" s="110"/>
      <c r="E268" s="110"/>
      <c r="F268" s="110"/>
      <c r="G268" s="110"/>
      <c r="P268" s="102"/>
      <c r="Q268" s="102"/>
      <c r="R268" s="102"/>
    </row>
    <row r="269" spans="1:18">
      <c r="A269" s="110"/>
      <c r="B269" s="110"/>
      <c r="C269" s="110"/>
      <c r="D269" s="110"/>
      <c r="E269" s="110"/>
      <c r="F269" s="110"/>
      <c r="G269" s="110"/>
      <c r="P269" s="102"/>
      <c r="Q269" s="102"/>
      <c r="R269" s="102"/>
    </row>
    <row r="270" spans="1:18">
      <c r="A270" s="110"/>
      <c r="B270" s="110"/>
      <c r="C270" s="110"/>
      <c r="D270" s="110"/>
      <c r="E270" s="110"/>
      <c r="F270" s="110"/>
      <c r="G270" s="110"/>
      <c r="P270" s="102"/>
      <c r="Q270" s="102"/>
      <c r="R270" s="102"/>
    </row>
    <row r="271" spans="1:18">
      <c r="A271" s="110"/>
      <c r="B271" s="110"/>
      <c r="C271" s="110"/>
      <c r="D271" s="110"/>
      <c r="E271" s="110"/>
      <c r="F271" s="110"/>
      <c r="G271" s="110"/>
      <c r="P271" s="102"/>
      <c r="Q271" s="102"/>
      <c r="R271" s="102"/>
    </row>
    <row r="272" spans="1:18">
      <c r="A272" s="110"/>
      <c r="B272" s="110"/>
      <c r="C272" s="110"/>
      <c r="D272" s="110"/>
      <c r="E272" s="110"/>
      <c r="F272" s="110"/>
      <c r="G272" s="110"/>
      <c r="P272" s="102"/>
      <c r="Q272" s="102"/>
      <c r="R272" s="102"/>
    </row>
    <row r="273" spans="1:18">
      <c r="A273" s="110"/>
      <c r="B273" s="110"/>
      <c r="C273" s="110"/>
      <c r="D273" s="110"/>
      <c r="E273" s="110"/>
      <c r="F273" s="110"/>
      <c r="G273" s="110"/>
      <c r="P273" s="102"/>
      <c r="Q273" s="102"/>
      <c r="R273" s="102"/>
    </row>
    <row r="274" spans="1:18">
      <c r="A274" s="110"/>
      <c r="B274" s="110"/>
      <c r="C274" s="110"/>
      <c r="D274" s="110"/>
      <c r="E274" s="110"/>
      <c r="F274" s="110"/>
      <c r="G274" s="110"/>
      <c r="P274" s="102"/>
      <c r="Q274" s="102"/>
      <c r="R274" s="102"/>
    </row>
    <row r="275" spans="1:18">
      <c r="A275" s="110"/>
      <c r="B275" s="110"/>
      <c r="C275" s="110"/>
      <c r="D275" s="110"/>
      <c r="E275" s="110"/>
      <c r="F275" s="110"/>
      <c r="G275" s="110"/>
      <c r="P275" s="102"/>
      <c r="Q275" s="102"/>
      <c r="R275" s="102"/>
    </row>
    <row r="276" spans="1:18">
      <c r="A276" s="110"/>
      <c r="B276" s="110"/>
      <c r="C276" s="110"/>
      <c r="D276" s="110"/>
      <c r="E276" s="110"/>
      <c r="F276" s="110"/>
      <c r="G276" s="110"/>
      <c r="P276" s="102"/>
      <c r="Q276" s="102"/>
      <c r="R276" s="102"/>
    </row>
    <row r="277" spans="1:18">
      <c r="A277" s="110"/>
      <c r="B277" s="110"/>
      <c r="C277" s="110"/>
      <c r="D277" s="110"/>
      <c r="E277" s="110"/>
      <c r="F277" s="110"/>
      <c r="G277" s="110"/>
      <c r="P277" s="102"/>
      <c r="Q277" s="102"/>
      <c r="R277" s="102"/>
    </row>
    <row r="278" spans="1:18">
      <c r="A278" s="110"/>
      <c r="B278" s="110"/>
      <c r="C278" s="110"/>
      <c r="D278" s="110"/>
      <c r="E278" s="110"/>
      <c r="F278" s="110"/>
      <c r="G278" s="110"/>
      <c r="P278" s="102"/>
      <c r="Q278" s="102"/>
      <c r="R278" s="102"/>
    </row>
    <row r="279" spans="1:18">
      <c r="A279" s="110"/>
      <c r="B279" s="110"/>
      <c r="C279" s="110"/>
      <c r="D279" s="110"/>
      <c r="E279" s="110"/>
      <c r="F279" s="110"/>
      <c r="G279" s="110"/>
      <c r="P279" s="102"/>
      <c r="Q279" s="102"/>
      <c r="R279" s="102"/>
    </row>
    <row r="280" spans="1:18">
      <c r="A280" s="110"/>
      <c r="B280" s="110"/>
      <c r="C280" s="110"/>
      <c r="D280" s="110"/>
      <c r="E280" s="110"/>
      <c r="F280" s="110"/>
      <c r="G280" s="110"/>
      <c r="P280" s="102"/>
      <c r="Q280" s="102"/>
      <c r="R280" s="102"/>
    </row>
    <row r="281" spans="1:18">
      <c r="A281" s="110"/>
      <c r="B281" s="110"/>
      <c r="C281" s="110"/>
      <c r="D281" s="110"/>
      <c r="E281" s="110"/>
      <c r="F281" s="110"/>
      <c r="G281" s="110"/>
      <c r="P281" s="102"/>
      <c r="Q281" s="102"/>
      <c r="R281" s="102"/>
    </row>
    <row r="282" spans="1:18">
      <c r="A282" s="110"/>
      <c r="B282" s="110"/>
      <c r="C282" s="110"/>
      <c r="D282" s="110"/>
      <c r="E282" s="110"/>
      <c r="F282" s="110"/>
      <c r="G282" s="110"/>
      <c r="P282" s="102"/>
      <c r="Q282" s="102"/>
      <c r="R282" s="102"/>
    </row>
    <row r="283" spans="1:18">
      <c r="A283" s="110"/>
      <c r="B283" s="110"/>
      <c r="C283" s="110"/>
      <c r="D283" s="110"/>
      <c r="E283" s="110"/>
      <c r="F283" s="110"/>
      <c r="G283" s="110"/>
      <c r="P283" s="102"/>
      <c r="Q283" s="102"/>
      <c r="R283" s="102"/>
    </row>
    <row r="284" spans="1:18">
      <c r="A284" s="110"/>
      <c r="B284" s="110"/>
      <c r="C284" s="110"/>
      <c r="D284" s="110"/>
      <c r="E284" s="110"/>
      <c r="F284" s="110"/>
      <c r="G284" s="110"/>
      <c r="P284" s="102"/>
      <c r="Q284" s="102"/>
      <c r="R284" s="102"/>
    </row>
    <row r="285" spans="1:18">
      <c r="A285" s="110"/>
      <c r="B285" s="110"/>
      <c r="C285" s="110"/>
      <c r="D285" s="110"/>
      <c r="E285" s="110"/>
      <c r="F285" s="110"/>
      <c r="G285" s="110"/>
      <c r="P285" s="102"/>
      <c r="Q285" s="102"/>
      <c r="R285" s="102"/>
    </row>
    <row r="286" spans="1:18">
      <c r="A286" s="110"/>
      <c r="B286" s="110"/>
      <c r="C286" s="110"/>
      <c r="D286" s="110"/>
      <c r="E286" s="110"/>
      <c r="F286" s="110"/>
      <c r="G286" s="110"/>
      <c r="P286" s="102"/>
      <c r="Q286" s="102"/>
      <c r="R286" s="102"/>
    </row>
    <row r="287" spans="1:18">
      <c r="A287" s="110"/>
      <c r="B287" s="110"/>
      <c r="C287" s="110"/>
      <c r="D287" s="110"/>
      <c r="E287" s="110"/>
      <c r="F287" s="110"/>
      <c r="G287" s="110"/>
      <c r="P287" s="102"/>
      <c r="Q287" s="102"/>
      <c r="R287" s="102"/>
    </row>
    <row r="288" spans="1:18">
      <c r="A288" s="110"/>
      <c r="B288" s="110"/>
      <c r="C288" s="110"/>
      <c r="D288" s="110"/>
      <c r="E288" s="110"/>
      <c r="F288" s="110"/>
      <c r="G288" s="110"/>
      <c r="P288" s="102"/>
      <c r="Q288" s="102"/>
      <c r="R288" s="102"/>
    </row>
    <row r="289" spans="1:18">
      <c r="A289" s="110"/>
      <c r="B289" s="110"/>
      <c r="C289" s="110"/>
      <c r="D289" s="110"/>
      <c r="E289" s="110"/>
      <c r="F289" s="110"/>
      <c r="G289" s="110"/>
      <c r="P289" s="102"/>
      <c r="Q289" s="102"/>
      <c r="R289" s="102"/>
    </row>
    <row r="290" spans="1:18">
      <c r="A290" s="110"/>
      <c r="B290" s="110"/>
      <c r="C290" s="110"/>
      <c r="D290" s="110"/>
      <c r="E290" s="110"/>
      <c r="F290" s="110"/>
      <c r="G290" s="110"/>
      <c r="P290" s="102"/>
      <c r="Q290" s="102"/>
      <c r="R290" s="102"/>
    </row>
    <row r="291" spans="1:18">
      <c r="A291" s="110"/>
      <c r="B291" s="110"/>
      <c r="C291" s="110"/>
      <c r="D291" s="110"/>
      <c r="E291" s="110"/>
      <c r="F291" s="110"/>
      <c r="G291" s="110"/>
      <c r="P291" s="102"/>
      <c r="Q291" s="102"/>
      <c r="R291" s="102"/>
    </row>
    <row r="292" spans="1:18">
      <c r="A292" s="110"/>
      <c r="B292" s="110"/>
      <c r="C292" s="110"/>
      <c r="D292" s="110"/>
      <c r="E292" s="110"/>
      <c r="F292" s="110"/>
      <c r="G292" s="110"/>
      <c r="P292" s="102"/>
      <c r="Q292" s="102"/>
      <c r="R292" s="102"/>
    </row>
    <row r="293" spans="1:18">
      <c r="A293" s="110"/>
      <c r="B293" s="110"/>
      <c r="C293" s="110"/>
      <c r="D293" s="110"/>
      <c r="E293" s="110"/>
      <c r="F293" s="110"/>
      <c r="G293" s="110"/>
      <c r="P293" s="102"/>
      <c r="Q293" s="102"/>
      <c r="R293" s="102"/>
    </row>
    <row r="294" spans="1:18">
      <c r="A294" s="110"/>
      <c r="B294" s="110"/>
      <c r="C294" s="110"/>
      <c r="D294" s="110"/>
      <c r="E294" s="110"/>
      <c r="F294" s="110"/>
      <c r="G294" s="110"/>
      <c r="P294" s="102"/>
      <c r="Q294" s="102"/>
      <c r="R294" s="102"/>
    </row>
    <row r="295" spans="1:18">
      <c r="A295" s="110"/>
      <c r="B295" s="110"/>
      <c r="C295" s="110"/>
      <c r="D295" s="110"/>
      <c r="E295" s="110"/>
      <c r="F295" s="110"/>
      <c r="G295" s="110"/>
      <c r="P295" s="102"/>
      <c r="Q295" s="102"/>
      <c r="R295" s="102"/>
    </row>
    <row r="296" spans="1:18">
      <c r="A296" s="110"/>
      <c r="B296" s="110"/>
      <c r="C296" s="110"/>
      <c r="D296" s="110"/>
      <c r="E296" s="110"/>
      <c r="F296" s="110"/>
      <c r="G296" s="110"/>
      <c r="P296" s="102"/>
      <c r="Q296" s="102"/>
      <c r="R296" s="102"/>
    </row>
    <row r="297" spans="1:18">
      <c r="A297" s="110"/>
      <c r="B297" s="110"/>
      <c r="C297" s="110"/>
      <c r="D297" s="110"/>
      <c r="E297" s="110"/>
      <c r="F297" s="110"/>
      <c r="G297" s="110"/>
      <c r="P297" s="102"/>
      <c r="Q297" s="102"/>
      <c r="R297" s="102"/>
    </row>
    <row r="298" spans="1:18">
      <c r="A298" s="110"/>
      <c r="B298" s="110"/>
      <c r="C298" s="110"/>
      <c r="D298" s="110"/>
      <c r="E298" s="110"/>
      <c r="F298" s="110"/>
      <c r="G298" s="110"/>
      <c r="P298" s="102"/>
      <c r="Q298" s="102"/>
      <c r="R298" s="102"/>
    </row>
    <row r="299" spans="1:18">
      <c r="A299" s="110"/>
      <c r="B299" s="110"/>
      <c r="C299" s="110"/>
      <c r="D299" s="110"/>
      <c r="E299" s="110"/>
      <c r="F299" s="110"/>
      <c r="G299" s="110"/>
      <c r="P299" s="102"/>
      <c r="Q299" s="102"/>
      <c r="R299" s="102"/>
    </row>
    <row r="300" spans="1:18">
      <c r="A300" s="110"/>
      <c r="B300" s="110"/>
      <c r="C300" s="110"/>
      <c r="D300" s="110"/>
      <c r="E300" s="110"/>
      <c r="F300" s="110"/>
      <c r="G300" s="110"/>
      <c r="P300" s="102"/>
      <c r="Q300" s="102"/>
      <c r="R300" s="102"/>
    </row>
    <row r="301" spans="1:18">
      <c r="A301" s="110"/>
      <c r="B301" s="110"/>
      <c r="C301" s="110"/>
      <c r="D301" s="110"/>
      <c r="E301" s="110"/>
      <c r="F301" s="110"/>
      <c r="G301" s="110"/>
      <c r="P301" s="102"/>
      <c r="Q301" s="102"/>
      <c r="R301" s="102"/>
    </row>
    <row r="302" spans="1:18">
      <c r="A302" s="110"/>
      <c r="B302" s="110"/>
      <c r="C302" s="110"/>
      <c r="D302" s="110"/>
      <c r="E302" s="110"/>
      <c r="F302" s="110"/>
      <c r="G302" s="110"/>
      <c r="P302" s="102"/>
      <c r="Q302" s="102"/>
      <c r="R302" s="102"/>
    </row>
    <row r="303" spans="1:18">
      <c r="A303" s="110"/>
      <c r="B303" s="110"/>
      <c r="C303" s="110"/>
      <c r="D303" s="110"/>
      <c r="E303" s="110"/>
      <c r="F303" s="110"/>
      <c r="G303" s="110"/>
      <c r="P303" s="102"/>
      <c r="Q303" s="102"/>
      <c r="R303" s="102"/>
    </row>
    <row r="304" spans="1:18">
      <c r="A304" s="110"/>
      <c r="B304" s="110"/>
      <c r="C304" s="110"/>
      <c r="D304" s="110"/>
      <c r="E304" s="110"/>
      <c r="F304" s="110"/>
      <c r="G304" s="110"/>
      <c r="P304" s="102"/>
      <c r="Q304" s="102"/>
      <c r="R304" s="102"/>
    </row>
    <row r="305" spans="1:18">
      <c r="A305" s="110"/>
      <c r="B305" s="110"/>
      <c r="C305" s="110"/>
      <c r="D305" s="110"/>
      <c r="E305" s="110"/>
      <c r="F305" s="110"/>
      <c r="G305" s="110"/>
      <c r="P305" s="102"/>
      <c r="Q305" s="102"/>
      <c r="R305" s="102"/>
    </row>
    <row r="306" spans="1:18">
      <c r="A306" s="110"/>
      <c r="B306" s="110"/>
      <c r="C306" s="110"/>
      <c r="D306" s="110"/>
      <c r="E306" s="110"/>
      <c r="F306" s="110"/>
      <c r="G306" s="110"/>
      <c r="P306" s="102"/>
      <c r="Q306" s="102"/>
      <c r="R306" s="102"/>
    </row>
    <row r="307" spans="1:18">
      <c r="A307" s="110"/>
      <c r="B307" s="110"/>
      <c r="C307" s="110"/>
      <c r="D307" s="110"/>
      <c r="E307" s="110"/>
      <c r="F307" s="110"/>
      <c r="G307" s="110"/>
      <c r="P307" s="102"/>
      <c r="Q307" s="102"/>
      <c r="R307" s="102"/>
    </row>
    <row r="308" spans="1:18">
      <c r="A308" s="110"/>
      <c r="B308" s="110"/>
      <c r="C308" s="110"/>
      <c r="D308" s="110"/>
      <c r="E308" s="110"/>
      <c r="F308" s="110"/>
      <c r="G308" s="110"/>
      <c r="P308" s="102"/>
      <c r="Q308" s="102"/>
      <c r="R308" s="102"/>
    </row>
    <row r="309" spans="1:18">
      <c r="A309" s="110"/>
      <c r="B309" s="110"/>
      <c r="C309" s="110"/>
      <c r="D309" s="110"/>
      <c r="E309" s="110"/>
      <c r="F309" s="110"/>
      <c r="G309" s="110"/>
      <c r="P309" s="102"/>
      <c r="Q309" s="102"/>
      <c r="R309" s="102"/>
    </row>
    <row r="310" spans="1:18">
      <c r="A310" s="110"/>
      <c r="B310" s="110"/>
      <c r="C310" s="110"/>
      <c r="D310" s="110"/>
      <c r="E310" s="110"/>
      <c r="F310" s="110"/>
      <c r="G310" s="110"/>
      <c r="P310" s="102"/>
      <c r="Q310" s="102"/>
      <c r="R310" s="102"/>
    </row>
    <row r="311" spans="1:18">
      <c r="A311" s="110"/>
      <c r="B311" s="110"/>
      <c r="C311" s="110"/>
      <c r="D311" s="110"/>
      <c r="E311" s="110"/>
      <c r="F311" s="110"/>
      <c r="G311" s="110"/>
      <c r="P311" s="102"/>
      <c r="Q311" s="102"/>
      <c r="R311" s="102"/>
    </row>
    <row r="312" spans="1:18">
      <c r="A312" s="110"/>
      <c r="B312" s="110"/>
      <c r="C312" s="110"/>
      <c r="D312" s="110"/>
      <c r="E312" s="110"/>
      <c r="F312" s="110"/>
      <c r="G312" s="110"/>
      <c r="P312" s="102"/>
      <c r="Q312" s="102"/>
      <c r="R312" s="102"/>
    </row>
    <row r="313" spans="1:18">
      <c r="A313" s="110"/>
      <c r="B313" s="110"/>
      <c r="C313" s="110"/>
      <c r="D313" s="110"/>
      <c r="E313" s="110"/>
      <c r="F313" s="110"/>
      <c r="G313" s="110"/>
      <c r="P313" s="102"/>
      <c r="Q313" s="102"/>
      <c r="R313" s="102"/>
    </row>
    <row r="314" spans="1:18">
      <c r="A314" s="110"/>
      <c r="B314" s="110"/>
      <c r="C314" s="110"/>
      <c r="D314" s="110"/>
      <c r="E314" s="110"/>
      <c r="F314" s="110"/>
      <c r="G314" s="110"/>
      <c r="P314" s="102"/>
      <c r="Q314" s="102"/>
      <c r="R314" s="102"/>
    </row>
    <row r="315" spans="1:18">
      <c r="A315" s="110"/>
      <c r="B315" s="110"/>
      <c r="C315" s="110"/>
      <c r="D315" s="110"/>
      <c r="E315" s="110"/>
      <c r="F315" s="110"/>
      <c r="G315" s="110"/>
      <c r="P315" s="102"/>
      <c r="Q315" s="102"/>
      <c r="R315" s="102"/>
    </row>
    <row r="316" spans="1:18">
      <c r="A316" s="110"/>
      <c r="B316" s="110"/>
      <c r="C316" s="110"/>
      <c r="D316" s="110"/>
      <c r="E316" s="110"/>
      <c r="F316" s="110"/>
      <c r="G316" s="110"/>
      <c r="P316" s="102"/>
      <c r="Q316" s="102"/>
      <c r="R316" s="102"/>
    </row>
    <row r="317" spans="1:18">
      <c r="A317" s="110"/>
      <c r="B317" s="110"/>
      <c r="C317" s="110"/>
      <c r="D317" s="110"/>
      <c r="E317" s="110"/>
      <c r="F317" s="110"/>
      <c r="G317" s="110"/>
      <c r="P317" s="102"/>
      <c r="Q317" s="102"/>
      <c r="R317" s="102"/>
    </row>
    <row r="318" spans="1:18">
      <c r="A318" s="110"/>
      <c r="B318" s="110"/>
      <c r="C318" s="110"/>
      <c r="D318" s="110"/>
      <c r="E318" s="110"/>
      <c r="F318" s="110"/>
      <c r="G318" s="110"/>
      <c r="P318" s="102"/>
      <c r="Q318" s="102"/>
      <c r="R318" s="102"/>
    </row>
    <row r="319" spans="1:18">
      <c r="A319" s="110"/>
      <c r="B319" s="110"/>
      <c r="C319" s="110"/>
      <c r="D319" s="110"/>
      <c r="E319" s="110"/>
      <c r="F319" s="110"/>
      <c r="G319" s="110"/>
      <c r="P319" s="102"/>
      <c r="Q319" s="102"/>
      <c r="R319" s="102"/>
    </row>
    <row r="320" spans="1:18">
      <c r="A320" s="110"/>
      <c r="B320" s="110"/>
      <c r="C320" s="110"/>
      <c r="D320" s="110"/>
      <c r="E320" s="110"/>
      <c r="F320" s="110"/>
      <c r="G320" s="110"/>
      <c r="P320" s="102"/>
      <c r="Q320" s="102"/>
      <c r="R320" s="102"/>
    </row>
    <row r="321" spans="1:18">
      <c r="A321" s="110"/>
      <c r="B321" s="110"/>
      <c r="C321" s="110"/>
      <c r="D321" s="110"/>
      <c r="E321" s="110"/>
      <c r="F321" s="110"/>
      <c r="G321" s="110"/>
      <c r="P321" s="102"/>
      <c r="Q321" s="102"/>
      <c r="R321" s="102"/>
    </row>
    <row r="322" spans="1:18">
      <c r="A322" s="110"/>
      <c r="B322" s="110"/>
      <c r="C322" s="110"/>
      <c r="D322" s="110"/>
      <c r="E322" s="110"/>
      <c r="F322" s="110"/>
      <c r="G322" s="110"/>
      <c r="P322" s="102"/>
      <c r="Q322" s="102"/>
      <c r="R322" s="102"/>
    </row>
    <row r="323" spans="1:18">
      <c r="A323" s="110"/>
      <c r="B323" s="110"/>
      <c r="C323" s="110"/>
      <c r="D323" s="110"/>
      <c r="E323" s="110"/>
      <c r="F323" s="110"/>
      <c r="G323" s="110"/>
      <c r="P323" s="102"/>
      <c r="Q323" s="102"/>
      <c r="R323" s="102"/>
    </row>
    <row r="324" spans="1:18">
      <c r="A324" s="110"/>
      <c r="B324" s="110"/>
      <c r="C324" s="110"/>
      <c r="D324" s="110"/>
      <c r="E324" s="110"/>
      <c r="F324" s="110"/>
      <c r="G324" s="110"/>
      <c r="P324" s="102"/>
      <c r="Q324" s="102"/>
      <c r="R324" s="102"/>
    </row>
    <row r="325" spans="1:18">
      <c r="A325" s="110"/>
      <c r="B325" s="110"/>
      <c r="C325" s="110"/>
      <c r="D325" s="110"/>
      <c r="E325" s="110"/>
      <c r="F325" s="110"/>
      <c r="G325" s="110"/>
      <c r="P325" s="102"/>
      <c r="Q325" s="102"/>
      <c r="R325" s="102"/>
    </row>
    <row r="326" spans="1:18">
      <c r="A326" s="110"/>
      <c r="B326" s="110"/>
      <c r="C326" s="110"/>
      <c r="D326" s="110"/>
      <c r="E326" s="110"/>
      <c r="F326" s="110"/>
      <c r="G326" s="110"/>
      <c r="P326" s="102"/>
      <c r="Q326" s="102"/>
      <c r="R326" s="102"/>
    </row>
    <row r="327" spans="1:18">
      <c r="A327" s="110"/>
      <c r="B327" s="110"/>
      <c r="C327" s="110"/>
      <c r="D327" s="110"/>
      <c r="E327" s="110"/>
      <c r="F327" s="110"/>
      <c r="G327" s="110"/>
      <c r="P327" s="102"/>
      <c r="Q327" s="102"/>
      <c r="R327" s="102"/>
    </row>
    <row r="328" spans="1:18">
      <c r="A328" s="110"/>
      <c r="B328" s="110"/>
      <c r="C328" s="110"/>
      <c r="D328" s="110"/>
      <c r="E328" s="110"/>
      <c r="F328" s="110"/>
      <c r="G328" s="110"/>
      <c r="P328" s="102"/>
      <c r="Q328" s="102"/>
      <c r="R328" s="102"/>
    </row>
    <row r="329" spans="1:18">
      <c r="A329" s="110"/>
      <c r="B329" s="110"/>
      <c r="C329" s="110"/>
      <c r="D329" s="110"/>
      <c r="E329" s="110"/>
      <c r="F329" s="110"/>
      <c r="G329" s="110"/>
      <c r="P329" s="102"/>
      <c r="Q329" s="102"/>
      <c r="R329" s="102"/>
    </row>
    <row r="330" spans="1:18">
      <c r="A330" s="110"/>
      <c r="B330" s="110"/>
      <c r="C330" s="110"/>
      <c r="D330" s="110"/>
      <c r="E330" s="110"/>
      <c r="F330" s="110"/>
      <c r="G330" s="110"/>
      <c r="P330" s="102"/>
      <c r="Q330" s="102"/>
      <c r="R330" s="102"/>
    </row>
    <row r="331" spans="1:18">
      <c r="A331" s="110"/>
      <c r="B331" s="110"/>
      <c r="C331" s="110"/>
      <c r="D331" s="110"/>
      <c r="E331" s="110"/>
      <c r="F331" s="110"/>
      <c r="G331" s="110"/>
      <c r="P331" s="102"/>
      <c r="Q331" s="102"/>
      <c r="R331" s="102"/>
    </row>
    <row r="332" spans="1:18">
      <c r="A332" s="110"/>
      <c r="B332" s="110"/>
      <c r="C332" s="110"/>
      <c r="D332" s="110"/>
      <c r="E332" s="110"/>
      <c r="F332" s="110"/>
      <c r="G332" s="110"/>
      <c r="P332" s="102"/>
      <c r="Q332" s="102"/>
      <c r="R332" s="102"/>
    </row>
    <row r="333" spans="1:18">
      <c r="A333" s="110"/>
      <c r="B333" s="110"/>
      <c r="C333" s="110"/>
      <c r="D333" s="110"/>
      <c r="E333" s="110"/>
      <c r="F333" s="110"/>
      <c r="G333" s="110"/>
      <c r="P333" s="102"/>
      <c r="Q333" s="102"/>
      <c r="R333" s="102"/>
    </row>
    <row r="334" spans="1:18">
      <c r="A334" s="110"/>
      <c r="B334" s="110"/>
      <c r="C334" s="110"/>
      <c r="D334" s="110"/>
      <c r="E334" s="110"/>
      <c r="F334" s="110"/>
      <c r="G334" s="110"/>
      <c r="P334" s="102"/>
      <c r="Q334" s="102"/>
      <c r="R334" s="102"/>
    </row>
    <row r="335" spans="1:18">
      <c r="A335" s="110"/>
      <c r="B335" s="110"/>
      <c r="C335" s="110"/>
      <c r="D335" s="110"/>
      <c r="E335" s="110"/>
      <c r="F335" s="110"/>
      <c r="G335" s="110"/>
      <c r="P335" s="102"/>
      <c r="Q335" s="102"/>
      <c r="R335" s="102"/>
    </row>
    <row r="336" spans="1:18">
      <c r="A336" s="110"/>
      <c r="B336" s="110"/>
      <c r="C336" s="110"/>
      <c r="D336" s="110"/>
      <c r="E336" s="110"/>
      <c r="F336" s="110"/>
      <c r="G336" s="110"/>
      <c r="P336" s="102"/>
      <c r="Q336" s="102"/>
      <c r="R336" s="102"/>
    </row>
    <row r="337" spans="1:18">
      <c r="A337" s="110"/>
      <c r="B337" s="110"/>
      <c r="C337" s="110"/>
      <c r="D337" s="110"/>
      <c r="E337" s="110"/>
      <c r="F337" s="110"/>
      <c r="G337" s="110"/>
      <c r="P337" s="102"/>
      <c r="Q337" s="102"/>
      <c r="R337" s="102"/>
    </row>
    <row r="338" spans="1:18">
      <c r="A338" s="110"/>
      <c r="B338" s="110"/>
      <c r="C338" s="110"/>
      <c r="D338" s="110"/>
      <c r="E338" s="110"/>
      <c r="F338" s="110"/>
      <c r="G338" s="110"/>
      <c r="P338" s="102"/>
      <c r="Q338" s="102"/>
      <c r="R338" s="102"/>
    </row>
    <row r="339" spans="1:18">
      <c r="A339" s="110"/>
      <c r="B339" s="110"/>
      <c r="C339" s="110"/>
      <c r="D339" s="110"/>
      <c r="E339" s="110"/>
      <c r="F339" s="110"/>
      <c r="G339" s="110"/>
      <c r="P339" s="102"/>
      <c r="Q339" s="102"/>
      <c r="R339" s="102"/>
    </row>
    <row r="340" spans="1:18">
      <c r="A340" s="110"/>
      <c r="B340" s="110"/>
      <c r="C340" s="110"/>
      <c r="D340" s="110"/>
      <c r="E340" s="110"/>
      <c r="F340" s="110"/>
      <c r="G340" s="110"/>
      <c r="P340" s="102"/>
      <c r="Q340" s="102"/>
      <c r="R340" s="102"/>
    </row>
    <row r="341" spans="1:18">
      <c r="A341" s="110"/>
      <c r="B341" s="110"/>
      <c r="C341" s="110"/>
      <c r="D341" s="110"/>
      <c r="E341" s="110"/>
      <c r="F341" s="110"/>
      <c r="G341" s="110"/>
      <c r="P341" s="102"/>
      <c r="Q341" s="102"/>
      <c r="R341" s="102"/>
    </row>
    <row r="342" spans="1:18">
      <c r="A342" s="110"/>
      <c r="B342" s="110"/>
      <c r="C342" s="110"/>
      <c r="D342" s="110"/>
      <c r="E342" s="110"/>
      <c r="F342" s="110"/>
      <c r="G342" s="110"/>
      <c r="P342" s="102"/>
      <c r="Q342" s="102"/>
      <c r="R342" s="102"/>
    </row>
    <row r="343" spans="1:18">
      <c r="A343" s="110"/>
      <c r="B343" s="110"/>
      <c r="C343" s="110"/>
      <c r="D343" s="110"/>
      <c r="E343" s="110"/>
      <c r="F343" s="110"/>
      <c r="G343" s="110"/>
      <c r="P343" s="102"/>
      <c r="Q343" s="102"/>
      <c r="R343" s="102"/>
    </row>
    <row r="344" spans="1:18">
      <c r="A344" s="110"/>
      <c r="B344" s="110"/>
      <c r="C344" s="110"/>
      <c r="D344" s="110"/>
      <c r="E344" s="110"/>
      <c r="F344" s="110"/>
      <c r="G344" s="110"/>
      <c r="P344" s="102"/>
      <c r="Q344" s="102"/>
      <c r="R344" s="102"/>
    </row>
    <row r="345" spans="1:18">
      <c r="A345" s="110"/>
      <c r="B345" s="110"/>
      <c r="C345" s="110"/>
      <c r="D345" s="110"/>
      <c r="E345" s="110"/>
      <c r="F345" s="110"/>
      <c r="G345" s="110"/>
      <c r="P345" s="102"/>
      <c r="Q345" s="102"/>
      <c r="R345" s="102"/>
    </row>
    <row r="346" spans="1:18">
      <c r="A346" s="110"/>
      <c r="B346" s="110"/>
      <c r="C346" s="110"/>
      <c r="D346" s="110"/>
      <c r="E346" s="110"/>
      <c r="F346" s="110"/>
      <c r="G346" s="110"/>
      <c r="P346" s="102"/>
      <c r="Q346" s="102"/>
      <c r="R346" s="102"/>
    </row>
    <row r="347" spans="1:18">
      <c r="A347" s="110"/>
      <c r="B347" s="110"/>
      <c r="C347" s="110"/>
      <c r="D347" s="110"/>
      <c r="E347" s="110"/>
      <c r="F347" s="110"/>
      <c r="G347" s="110"/>
      <c r="P347" s="102"/>
      <c r="Q347" s="102"/>
      <c r="R347" s="102"/>
    </row>
    <row r="348" spans="1:18">
      <c r="A348" s="110"/>
      <c r="B348" s="110"/>
      <c r="C348" s="110"/>
      <c r="D348" s="110"/>
      <c r="E348" s="110"/>
      <c r="F348" s="110"/>
      <c r="G348" s="110"/>
      <c r="P348" s="102"/>
      <c r="Q348" s="102"/>
      <c r="R348" s="102"/>
    </row>
    <row r="349" spans="1:18">
      <c r="A349" s="110"/>
      <c r="B349" s="110"/>
      <c r="C349" s="110"/>
      <c r="D349" s="110"/>
      <c r="E349" s="110"/>
      <c r="F349" s="110"/>
      <c r="G349" s="110"/>
      <c r="P349" s="102"/>
      <c r="Q349" s="102"/>
      <c r="R349" s="102"/>
    </row>
    <row r="350" spans="1:18">
      <c r="A350" s="110"/>
      <c r="B350" s="110"/>
      <c r="C350" s="110"/>
      <c r="D350" s="110"/>
      <c r="E350" s="110"/>
      <c r="F350" s="110"/>
      <c r="G350" s="110"/>
      <c r="P350" s="102"/>
      <c r="Q350" s="102"/>
      <c r="R350" s="102"/>
    </row>
    <row r="351" spans="1:18">
      <c r="A351" s="110"/>
      <c r="B351" s="110"/>
      <c r="C351" s="110"/>
      <c r="D351" s="110"/>
      <c r="E351" s="110"/>
      <c r="F351" s="110"/>
      <c r="G351" s="110"/>
      <c r="P351" s="102"/>
      <c r="Q351" s="102"/>
      <c r="R351" s="102"/>
    </row>
    <row r="352" spans="1:18">
      <c r="A352" s="110"/>
      <c r="B352" s="110"/>
      <c r="C352" s="110"/>
      <c r="D352" s="110"/>
      <c r="E352" s="110"/>
      <c r="F352" s="110"/>
      <c r="G352" s="110"/>
      <c r="P352" s="102"/>
      <c r="Q352" s="102"/>
      <c r="R352" s="102"/>
    </row>
    <row r="353" spans="1:18">
      <c r="A353" s="110"/>
      <c r="B353" s="110"/>
      <c r="C353" s="110"/>
      <c r="D353" s="110"/>
      <c r="E353" s="110"/>
      <c r="F353" s="110"/>
      <c r="G353" s="110"/>
      <c r="P353" s="102"/>
      <c r="Q353" s="102"/>
      <c r="R353" s="102"/>
    </row>
    <row r="354" spans="1:18">
      <c r="A354" s="110"/>
      <c r="B354" s="110"/>
      <c r="C354" s="110"/>
      <c r="D354" s="110"/>
      <c r="E354" s="110"/>
      <c r="F354" s="110"/>
      <c r="G354" s="110"/>
      <c r="P354" s="102"/>
      <c r="Q354" s="102"/>
      <c r="R354" s="102"/>
    </row>
    <row r="355" spans="1:18">
      <c r="A355" s="110"/>
      <c r="B355" s="110"/>
      <c r="C355" s="110"/>
      <c r="D355" s="110"/>
      <c r="E355" s="110"/>
      <c r="F355" s="110"/>
      <c r="G355" s="110"/>
      <c r="P355" s="102"/>
      <c r="Q355" s="102"/>
      <c r="R355" s="102"/>
    </row>
    <row r="356" spans="1:18">
      <c r="A356" s="110"/>
      <c r="B356" s="110"/>
      <c r="C356" s="110"/>
      <c r="D356" s="110"/>
      <c r="E356" s="110"/>
      <c r="F356" s="110"/>
      <c r="G356" s="110"/>
      <c r="P356" s="102"/>
      <c r="Q356" s="102"/>
      <c r="R356" s="102"/>
    </row>
    <row r="357" spans="1:18">
      <c r="A357" s="110"/>
      <c r="B357" s="110"/>
      <c r="C357" s="110"/>
      <c r="D357" s="110"/>
      <c r="E357" s="110"/>
      <c r="F357" s="110"/>
      <c r="G357" s="110"/>
      <c r="P357" s="102"/>
      <c r="Q357" s="102"/>
      <c r="R357" s="102"/>
    </row>
    <row r="358" spans="1:18">
      <c r="A358" s="110"/>
      <c r="B358" s="110"/>
      <c r="C358" s="110"/>
      <c r="D358" s="110"/>
      <c r="E358" s="110"/>
      <c r="F358" s="110"/>
      <c r="G358" s="110"/>
      <c r="P358" s="102"/>
      <c r="Q358" s="102"/>
      <c r="R358" s="102"/>
    </row>
    <row r="359" spans="1:18">
      <c r="P359" s="102"/>
      <c r="Q359" s="102"/>
      <c r="R359" s="102"/>
    </row>
    <row r="360" spans="1:18">
      <c r="Q360" s="102" t="s">
        <v>203</v>
      </c>
      <c r="R360" s="102" t="s">
        <v>768</v>
      </c>
    </row>
    <row r="361" spans="1:18">
      <c r="Q361" s="102" t="s">
        <v>766</v>
      </c>
      <c r="R361" s="102" t="s">
        <v>767</v>
      </c>
    </row>
    <row r="362" spans="1:18">
      <c r="Q362" s="102" t="s">
        <v>769</v>
      </c>
      <c r="R362" s="102" t="s">
        <v>770</v>
      </c>
    </row>
    <row r="363" spans="1:18">
      <c r="Q363" s="102" t="s">
        <v>771</v>
      </c>
      <c r="R363" s="102" t="s">
        <v>772</v>
      </c>
    </row>
    <row r="364" spans="1:18">
      <c r="Q364" s="102" t="s">
        <v>773</v>
      </c>
      <c r="R364" s="102" t="s">
        <v>774</v>
      </c>
    </row>
    <row r="365" spans="1:18">
      <c r="Q365" s="102" t="s">
        <v>775</v>
      </c>
      <c r="R365" s="102" t="s">
        <v>776</v>
      </c>
    </row>
    <row r="366" spans="1:18">
      <c r="Q366" s="102" t="s">
        <v>777</v>
      </c>
      <c r="R366" s="102" t="s">
        <v>778</v>
      </c>
    </row>
    <row r="367" spans="1:18">
      <c r="Q367" s="102" t="s">
        <v>779</v>
      </c>
      <c r="R367" s="102" t="s">
        <v>780</v>
      </c>
    </row>
    <row r="368" spans="1:18">
      <c r="Q368" s="102" t="s">
        <v>781</v>
      </c>
      <c r="R368" s="102" t="s">
        <v>782</v>
      </c>
    </row>
    <row r="369" spans="17:18">
      <c r="Q369" s="102" t="s">
        <v>783</v>
      </c>
      <c r="R369" s="102" t="s">
        <v>784</v>
      </c>
    </row>
    <row r="370" spans="17:18">
      <c r="Q370" s="102" t="s">
        <v>785</v>
      </c>
      <c r="R370" s="102" t="s">
        <v>786</v>
      </c>
    </row>
    <row r="371" spans="17:18">
      <c r="Q371" s="102" t="s">
        <v>787</v>
      </c>
      <c r="R371" s="102" t="s">
        <v>788</v>
      </c>
    </row>
  </sheetData>
  <mergeCells count="3">
    <mergeCell ref="B6:C7"/>
    <mergeCell ref="D6:E6"/>
    <mergeCell ref="F6:G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AR495"/>
  <sheetViews>
    <sheetView workbookViewId="0">
      <selection activeCell="F10" sqref="F10"/>
    </sheetView>
  </sheetViews>
  <sheetFormatPr defaultColWidth="14.7109375" defaultRowHeight="12.75"/>
  <cols>
    <col min="1" max="1" width="45.7109375" style="3" customWidth="1"/>
    <col min="2" max="2" width="12.7109375" style="3" customWidth="1"/>
    <col min="3" max="3" width="12.7109375" style="11" customWidth="1"/>
    <col min="4" max="4" width="14.7109375" style="3" customWidth="1"/>
    <col min="5" max="5" width="12.7109375" style="11" customWidth="1"/>
    <col min="6" max="7" width="6.7109375" style="3" customWidth="1"/>
    <col min="8" max="8" width="14.7109375" style="3" customWidth="1"/>
    <col min="9" max="9" width="1.7109375" style="3" customWidth="1"/>
    <col min="10" max="41" width="14.7109375" style="3" customWidth="1"/>
    <col min="42" max="16384" width="14.7109375" style="3"/>
  </cols>
  <sheetData>
    <row r="1" spans="1:44" ht="15.75">
      <c r="H1" s="28"/>
      <c r="I1" s="28"/>
      <c r="J1" s="29" t="s">
        <v>204</v>
      </c>
      <c r="K1" s="29" t="s">
        <v>205</v>
      </c>
      <c r="L1" s="29" t="s">
        <v>206</v>
      </c>
      <c r="M1" s="29" t="s">
        <v>207</v>
      </c>
      <c r="N1" s="29" t="s">
        <v>208</v>
      </c>
      <c r="O1" s="29" t="s">
        <v>209</v>
      </c>
      <c r="P1" s="29" t="s">
        <v>210</v>
      </c>
      <c r="Q1" s="28"/>
      <c r="R1" s="29" t="s">
        <v>211</v>
      </c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>
        <v>96</v>
      </c>
      <c r="AN1" s="28"/>
    </row>
    <row r="2" spans="1:44" ht="15.75">
      <c r="H2" s="29" t="s">
        <v>212</v>
      </c>
      <c r="I2" s="29"/>
      <c r="J2" s="28"/>
      <c r="K2" s="28"/>
      <c r="L2" s="28"/>
      <c r="M2" s="28"/>
      <c r="N2" s="28"/>
      <c r="O2" s="28"/>
      <c r="P2" s="30"/>
      <c r="Q2" s="28"/>
      <c r="R2" s="31" t="s">
        <v>213</v>
      </c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</row>
    <row r="3" spans="1:44" ht="15.75">
      <c r="A3" s="28"/>
      <c r="B3" s="28"/>
      <c r="C3" s="32"/>
      <c r="D3" s="28"/>
      <c r="E3" s="32"/>
      <c r="F3" s="28"/>
      <c r="G3" s="28"/>
      <c r="H3" s="28"/>
      <c r="I3" s="28"/>
      <c r="J3" s="33" t="s">
        <v>214</v>
      </c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</row>
    <row r="4" spans="1:44" ht="16.5" thickBot="1">
      <c r="A4" s="28"/>
      <c r="B4" s="34"/>
      <c r="C4" s="32"/>
      <c r="D4" s="28"/>
      <c r="E4" s="32"/>
      <c r="F4" s="28"/>
      <c r="G4" s="28"/>
      <c r="H4" s="28"/>
      <c r="I4" s="28"/>
    </row>
    <row r="5" spans="1:44" ht="17.25" thickTop="1" thickBot="1">
      <c r="A5" s="35" t="s">
        <v>215</v>
      </c>
      <c r="B5" s="26"/>
      <c r="C5" s="36"/>
      <c r="D5" s="37"/>
      <c r="E5" s="36"/>
      <c r="F5" s="37"/>
      <c r="G5" s="38"/>
      <c r="H5" s="28"/>
      <c r="I5" s="28"/>
      <c r="J5" s="39">
        <f t="shared" ref="J5:AN5" ca="1" si="0">SUM(J10:J95)</f>
        <v>0</v>
      </c>
      <c r="K5" s="39">
        <f t="shared" ca="1" si="0"/>
        <v>0</v>
      </c>
      <c r="L5" s="39">
        <f t="shared" ca="1" si="0"/>
        <v>0</v>
      </c>
      <c r="M5" s="39">
        <f t="shared" ca="1" si="0"/>
        <v>0</v>
      </c>
      <c r="N5" s="39">
        <f t="shared" ca="1" si="0"/>
        <v>0</v>
      </c>
      <c r="O5" s="39">
        <f t="shared" ca="1" si="0"/>
        <v>0</v>
      </c>
      <c r="P5" s="39">
        <f t="shared" ca="1" si="0"/>
        <v>0</v>
      </c>
      <c r="Q5" s="39">
        <f t="shared" ca="1" si="0"/>
        <v>0</v>
      </c>
      <c r="R5" s="39">
        <f t="shared" ca="1" si="0"/>
        <v>0</v>
      </c>
      <c r="S5" s="39">
        <f t="shared" ca="1" si="0"/>
        <v>0</v>
      </c>
      <c r="T5" s="39">
        <f t="shared" ca="1" si="0"/>
        <v>0</v>
      </c>
      <c r="U5" s="39">
        <f t="shared" ca="1" si="0"/>
        <v>0</v>
      </c>
      <c r="V5" s="39">
        <f t="shared" ca="1" si="0"/>
        <v>0</v>
      </c>
      <c r="W5" s="39">
        <f t="shared" ca="1" si="0"/>
        <v>0</v>
      </c>
      <c r="X5" s="39">
        <f t="shared" ca="1" si="0"/>
        <v>0</v>
      </c>
      <c r="Y5" s="39">
        <f t="shared" ca="1" si="0"/>
        <v>0</v>
      </c>
      <c r="Z5" s="39">
        <f t="shared" ca="1" si="0"/>
        <v>0</v>
      </c>
      <c r="AA5" s="39">
        <f t="shared" ca="1" si="0"/>
        <v>0</v>
      </c>
      <c r="AB5" s="39">
        <f t="shared" ca="1" si="0"/>
        <v>0</v>
      </c>
      <c r="AC5" s="39">
        <f t="shared" ca="1" si="0"/>
        <v>0</v>
      </c>
      <c r="AD5" s="39">
        <f t="shared" ca="1" si="0"/>
        <v>0</v>
      </c>
      <c r="AE5" s="39">
        <f t="shared" ca="1" si="0"/>
        <v>0</v>
      </c>
      <c r="AF5" s="39">
        <f t="shared" ca="1" si="0"/>
        <v>0</v>
      </c>
      <c r="AG5" s="39">
        <f t="shared" ca="1" si="0"/>
        <v>0</v>
      </c>
      <c r="AH5" s="39">
        <f t="shared" ca="1" si="0"/>
        <v>0</v>
      </c>
      <c r="AI5" s="39">
        <f t="shared" ca="1" si="0"/>
        <v>0</v>
      </c>
      <c r="AJ5" s="39">
        <f t="shared" ca="1" si="0"/>
        <v>0</v>
      </c>
      <c r="AK5" s="39">
        <f t="shared" ca="1" si="0"/>
        <v>0</v>
      </c>
      <c r="AL5" s="39">
        <f t="shared" ca="1" si="0"/>
        <v>0</v>
      </c>
      <c r="AM5" s="39">
        <f t="shared" ca="1" si="0"/>
        <v>0</v>
      </c>
      <c r="AN5" s="39">
        <f t="shared" ca="1" si="0"/>
        <v>0</v>
      </c>
    </row>
    <row r="6" spans="1:44" ht="16.5" thickBot="1">
      <c r="A6" s="40"/>
      <c r="B6" s="26"/>
      <c r="C6" s="41"/>
      <c r="D6" s="42"/>
      <c r="E6" s="41"/>
      <c r="F6" s="42"/>
      <c r="G6" s="43"/>
      <c r="H6" s="28"/>
      <c r="I6" s="28"/>
      <c r="J6" s="44" t="s">
        <v>216</v>
      </c>
    </row>
    <row r="7" spans="1:44" ht="16.5" thickBot="1">
      <c r="A7" s="45"/>
      <c r="B7" s="34" t="s">
        <v>217</v>
      </c>
      <c r="C7" s="46">
        <f ca="1">J9</f>
        <v>42405.034134606482</v>
      </c>
      <c r="D7" s="34"/>
      <c r="E7" s="47"/>
      <c r="F7" s="34"/>
      <c r="G7" s="48"/>
      <c r="H7" s="39">
        <f ca="1">SUM(H10:H95)</f>
        <v>0</v>
      </c>
      <c r="I7" s="33"/>
      <c r="J7" s="49">
        <v>0</v>
      </c>
      <c r="K7" s="49">
        <v>1</v>
      </c>
      <c r="L7" s="49">
        <v>2</v>
      </c>
      <c r="M7" s="49">
        <v>3</v>
      </c>
      <c r="N7" s="49">
        <v>4</v>
      </c>
      <c r="O7" s="49">
        <v>5</v>
      </c>
      <c r="P7" s="49">
        <v>6</v>
      </c>
      <c r="Q7" s="49">
        <v>7</v>
      </c>
      <c r="R7" s="49">
        <v>8</v>
      </c>
      <c r="S7" s="49">
        <v>9</v>
      </c>
      <c r="T7" s="49">
        <v>10</v>
      </c>
      <c r="U7" s="49">
        <v>11</v>
      </c>
      <c r="V7" s="49">
        <v>12</v>
      </c>
      <c r="W7" s="49">
        <v>13</v>
      </c>
      <c r="X7" s="49">
        <v>14</v>
      </c>
      <c r="Y7" s="49">
        <v>15</v>
      </c>
      <c r="Z7" s="49">
        <v>16</v>
      </c>
      <c r="AA7" s="49">
        <v>17</v>
      </c>
      <c r="AB7" s="49">
        <v>18</v>
      </c>
      <c r="AC7" s="49">
        <v>19</v>
      </c>
      <c r="AD7" s="49">
        <v>20</v>
      </c>
      <c r="AE7" s="49">
        <v>21</v>
      </c>
      <c r="AF7" s="49">
        <v>22</v>
      </c>
      <c r="AG7" s="49">
        <v>23</v>
      </c>
      <c r="AH7" s="49">
        <v>24</v>
      </c>
      <c r="AI7" s="49">
        <v>25</v>
      </c>
      <c r="AJ7" s="49">
        <v>26</v>
      </c>
      <c r="AK7" s="49">
        <v>27</v>
      </c>
      <c r="AL7" s="49">
        <v>28</v>
      </c>
      <c r="AM7" s="49">
        <v>29</v>
      </c>
      <c r="AN7" s="49">
        <v>30</v>
      </c>
    </row>
    <row r="8" spans="1:44" ht="14.25" thickTop="1" thickBot="1"/>
    <row r="9" spans="1:44" ht="16.5" thickBot="1">
      <c r="A9" s="50" t="s">
        <v>218</v>
      </c>
      <c r="B9" s="51" t="s">
        <v>21</v>
      </c>
      <c r="C9" s="52" t="s">
        <v>18</v>
      </c>
      <c r="D9" s="50" t="s">
        <v>219</v>
      </c>
      <c r="E9" s="53" t="s">
        <v>220</v>
      </c>
      <c r="F9" s="50" t="s">
        <v>221</v>
      </c>
      <c r="G9" s="54" t="s">
        <v>222</v>
      </c>
      <c r="H9" s="55" t="s">
        <v>223</v>
      </c>
      <c r="I9" s="56"/>
      <c r="J9" s="57">
        <f ca="1">NOW()+J7</f>
        <v>42405.034134606482</v>
      </c>
      <c r="K9" s="58">
        <f t="shared" ref="K9:AN9" ca="1" si="1">NOW()+K7</f>
        <v>42406.034134606482</v>
      </c>
      <c r="L9" s="58">
        <f t="shared" ca="1" si="1"/>
        <v>42407.034134606482</v>
      </c>
      <c r="M9" s="58">
        <f t="shared" ca="1" si="1"/>
        <v>42408.034134606482</v>
      </c>
      <c r="N9" s="58">
        <f t="shared" ca="1" si="1"/>
        <v>42409.034134606482</v>
      </c>
      <c r="O9" s="58">
        <f t="shared" ca="1" si="1"/>
        <v>42410.034134606482</v>
      </c>
      <c r="P9" s="58">
        <f t="shared" ca="1" si="1"/>
        <v>42411.034134606482</v>
      </c>
      <c r="Q9" s="58">
        <f t="shared" ca="1" si="1"/>
        <v>42412.034134606482</v>
      </c>
      <c r="R9" s="58">
        <f t="shared" ca="1" si="1"/>
        <v>42413.034134606482</v>
      </c>
      <c r="S9" s="58">
        <f t="shared" ca="1" si="1"/>
        <v>42414.034134606482</v>
      </c>
      <c r="T9" s="58">
        <f t="shared" ca="1" si="1"/>
        <v>42415.034134606482</v>
      </c>
      <c r="U9" s="58">
        <f t="shared" ca="1" si="1"/>
        <v>42416.034134606482</v>
      </c>
      <c r="V9" s="58">
        <f t="shared" ca="1" si="1"/>
        <v>42417.034134606482</v>
      </c>
      <c r="W9" s="58">
        <f t="shared" ca="1" si="1"/>
        <v>42418.034134606482</v>
      </c>
      <c r="X9" s="58">
        <f t="shared" ca="1" si="1"/>
        <v>42419.034134606482</v>
      </c>
      <c r="Y9" s="58">
        <f t="shared" ca="1" si="1"/>
        <v>42420.034134606482</v>
      </c>
      <c r="Z9" s="58">
        <f t="shared" ca="1" si="1"/>
        <v>42421.034134606482</v>
      </c>
      <c r="AA9" s="58">
        <f t="shared" ca="1" si="1"/>
        <v>42422.034134606482</v>
      </c>
      <c r="AB9" s="58">
        <f t="shared" ca="1" si="1"/>
        <v>42423.034134606482</v>
      </c>
      <c r="AC9" s="58">
        <f t="shared" ca="1" si="1"/>
        <v>42424.034134606482</v>
      </c>
      <c r="AD9" s="58">
        <f t="shared" ca="1" si="1"/>
        <v>42425.034134606482</v>
      </c>
      <c r="AE9" s="58">
        <f t="shared" ca="1" si="1"/>
        <v>42426.034134606482</v>
      </c>
      <c r="AF9" s="58">
        <f t="shared" ca="1" si="1"/>
        <v>42427.034134606482</v>
      </c>
      <c r="AG9" s="58">
        <f t="shared" ca="1" si="1"/>
        <v>42428.034134606482</v>
      </c>
      <c r="AH9" s="58">
        <f t="shared" ca="1" si="1"/>
        <v>42429.034134606482</v>
      </c>
      <c r="AI9" s="58">
        <f t="shared" ca="1" si="1"/>
        <v>42430.034134606482</v>
      </c>
      <c r="AJ9" s="58">
        <f t="shared" ca="1" si="1"/>
        <v>42431.034134606482</v>
      </c>
      <c r="AK9" s="58">
        <f t="shared" ca="1" si="1"/>
        <v>42432.034134606482</v>
      </c>
      <c r="AL9" s="58">
        <f t="shared" ca="1" si="1"/>
        <v>42433.034134606482</v>
      </c>
      <c r="AM9" s="58">
        <f t="shared" ca="1" si="1"/>
        <v>42434.034134606482</v>
      </c>
      <c r="AN9" s="58">
        <f t="shared" ca="1" si="1"/>
        <v>42435.034134606482</v>
      </c>
    </row>
    <row r="10" spans="1:44" ht="16.5" thickTop="1">
      <c r="A10" s="167"/>
      <c r="B10" s="168"/>
      <c r="C10" s="169"/>
      <c r="D10" s="170"/>
      <c r="E10" s="171"/>
      <c r="F10" s="172"/>
      <c r="G10" s="61">
        <f ca="1">IF(D10="",0,IF(F10="",IF(NOW()&gt;E10,TRUNC(NOW()-E10),0),0))</f>
        <v>0</v>
      </c>
      <c r="H10" s="62">
        <f ca="1">IF($E10&lt;J$9,$D10,0)</f>
        <v>0</v>
      </c>
      <c r="I10" s="27"/>
      <c r="J10" s="62">
        <f t="shared" ref="J10:Y25" ca="1" si="2">IF(ABS($E10-J$9)&lt;0.5,$D10,0)</f>
        <v>0</v>
      </c>
      <c r="K10" s="62">
        <f t="shared" ca="1" si="2"/>
        <v>0</v>
      </c>
      <c r="L10" s="62">
        <f t="shared" ca="1" si="2"/>
        <v>0</v>
      </c>
      <c r="M10" s="62">
        <f t="shared" ca="1" si="2"/>
        <v>0</v>
      </c>
      <c r="N10" s="62">
        <f t="shared" ca="1" si="2"/>
        <v>0</v>
      </c>
      <c r="O10" s="62">
        <f t="shared" ca="1" si="2"/>
        <v>0</v>
      </c>
      <c r="P10" s="62">
        <f t="shared" ca="1" si="2"/>
        <v>0</v>
      </c>
      <c r="Q10" s="62">
        <f t="shared" ca="1" si="2"/>
        <v>0</v>
      </c>
      <c r="R10" s="62">
        <f t="shared" ca="1" si="2"/>
        <v>0</v>
      </c>
      <c r="S10" s="62">
        <f t="shared" ca="1" si="2"/>
        <v>0</v>
      </c>
      <c r="T10" s="62">
        <f t="shared" ca="1" si="2"/>
        <v>0</v>
      </c>
      <c r="U10" s="62">
        <f t="shared" ca="1" si="2"/>
        <v>0</v>
      </c>
      <c r="V10" s="62">
        <f t="shared" ca="1" si="2"/>
        <v>0</v>
      </c>
      <c r="W10" s="62">
        <f t="shared" ca="1" si="2"/>
        <v>0</v>
      </c>
      <c r="X10" s="62">
        <f t="shared" ca="1" si="2"/>
        <v>0</v>
      </c>
      <c r="Y10" s="62">
        <f t="shared" ca="1" si="2"/>
        <v>0</v>
      </c>
      <c r="Z10" s="62">
        <f t="shared" ref="Z10:AN25" ca="1" si="3">IF(ABS($E10-Z$9)&lt;0.5,$D10,0)</f>
        <v>0</v>
      </c>
      <c r="AA10" s="62">
        <f t="shared" ca="1" si="3"/>
        <v>0</v>
      </c>
      <c r="AB10" s="62">
        <f t="shared" ca="1" si="3"/>
        <v>0</v>
      </c>
      <c r="AC10" s="62">
        <f t="shared" ca="1" si="3"/>
        <v>0</v>
      </c>
      <c r="AD10" s="62">
        <f t="shared" ca="1" si="3"/>
        <v>0</v>
      </c>
      <c r="AE10" s="62">
        <f t="shared" ca="1" si="3"/>
        <v>0</v>
      </c>
      <c r="AF10" s="62">
        <f t="shared" ca="1" si="3"/>
        <v>0</v>
      </c>
      <c r="AG10" s="62">
        <f t="shared" ca="1" si="3"/>
        <v>0</v>
      </c>
      <c r="AH10" s="62">
        <f t="shared" ca="1" si="3"/>
        <v>0</v>
      </c>
      <c r="AI10" s="62">
        <f t="shared" ca="1" si="3"/>
        <v>0</v>
      </c>
      <c r="AJ10" s="62">
        <f t="shared" ca="1" si="3"/>
        <v>0</v>
      </c>
      <c r="AK10" s="62">
        <f t="shared" ca="1" si="3"/>
        <v>0</v>
      </c>
      <c r="AL10" s="62">
        <f t="shared" ca="1" si="3"/>
        <v>0</v>
      </c>
      <c r="AM10" s="62">
        <f t="shared" ca="1" si="3"/>
        <v>0</v>
      </c>
      <c r="AN10" s="62">
        <f t="shared" ca="1" si="3"/>
        <v>0</v>
      </c>
      <c r="AR10" s="63"/>
    </row>
    <row r="11" spans="1:44" ht="15.75">
      <c r="A11" s="167"/>
      <c r="B11" s="173"/>
      <c r="C11" s="174"/>
      <c r="D11" s="170"/>
      <c r="E11" s="175"/>
      <c r="F11" s="172"/>
      <c r="G11" s="66">
        <f ca="1">IF(D11="",0,IF(F11="",IF(NOW()&gt;E11,TRUNC(NOW()-E11),0),0))</f>
        <v>0</v>
      </c>
      <c r="H11" s="62">
        <f t="shared" ref="H11:H74" ca="1" si="4">IF($E11&lt;J$9,$D11,0)</f>
        <v>0</v>
      </c>
      <c r="I11" s="27"/>
      <c r="J11" s="62">
        <f t="shared" ca="1" si="2"/>
        <v>0</v>
      </c>
      <c r="K11" s="62">
        <f t="shared" ca="1" si="2"/>
        <v>0</v>
      </c>
      <c r="L11" s="62">
        <f t="shared" ca="1" si="2"/>
        <v>0</v>
      </c>
      <c r="M11" s="62">
        <f t="shared" ca="1" si="2"/>
        <v>0</v>
      </c>
      <c r="N11" s="62">
        <f t="shared" ca="1" si="2"/>
        <v>0</v>
      </c>
      <c r="O11" s="62">
        <f t="shared" ca="1" si="2"/>
        <v>0</v>
      </c>
      <c r="P11" s="62">
        <f t="shared" ca="1" si="2"/>
        <v>0</v>
      </c>
      <c r="Q11" s="62">
        <f t="shared" ca="1" si="2"/>
        <v>0</v>
      </c>
      <c r="R11" s="62">
        <f t="shared" ca="1" si="2"/>
        <v>0</v>
      </c>
      <c r="S11" s="62">
        <f t="shared" ca="1" si="2"/>
        <v>0</v>
      </c>
      <c r="T11" s="62">
        <f t="shared" ca="1" si="2"/>
        <v>0</v>
      </c>
      <c r="U11" s="62">
        <f t="shared" ca="1" si="2"/>
        <v>0</v>
      </c>
      <c r="V11" s="62">
        <f t="shared" ca="1" si="2"/>
        <v>0</v>
      </c>
      <c r="W11" s="62">
        <f t="shared" ca="1" si="2"/>
        <v>0</v>
      </c>
      <c r="X11" s="62">
        <f t="shared" ca="1" si="2"/>
        <v>0</v>
      </c>
      <c r="Y11" s="62">
        <f t="shared" ca="1" si="2"/>
        <v>0</v>
      </c>
      <c r="Z11" s="62">
        <f t="shared" ca="1" si="3"/>
        <v>0</v>
      </c>
      <c r="AA11" s="62">
        <f t="shared" ca="1" si="3"/>
        <v>0</v>
      </c>
      <c r="AB11" s="62">
        <f t="shared" ca="1" si="3"/>
        <v>0</v>
      </c>
      <c r="AC11" s="62">
        <f t="shared" ca="1" si="3"/>
        <v>0</v>
      </c>
      <c r="AD11" s="62">
        <f t="shared" ca="1" si="3"/>
        <v>0</v>
      </c>
      <c r="AE11" s="62">
        <f t="shared" ca="1" si="3"/>
        <v>0</v>
      </c>
      <c r="AF11" s="62">
        <f t="shared" ca="1" si="3"/>
        <v>0</v>
      </c>
      <c r="AG11" s="62">
        <f t="shared" ca="1" si="3"/>
        <v>0</v>
      </c>
      <c r="AH11" s="62">
        <f t="shared" ca="1" si="3"/>
        <v>0</v>
      </c>
      <c r="AI11" s="62">
        <f t="shared" ca="1" si="3"/>
        <v>0</v>
      </c>
      <c r="AJ11" s="62">
        <f t="shared" ca="1" si="3"/>
        <v>0</v>
      </c>
      <c r="AK11" s="62">
        <f t="shared" ca="1" si="3"/>
        <v>0</v>
      </c>
      <c r="AL11" s="62">
        <f t="shared" ca="1" si="3"/>
        <v>0</v>
      </c>
      <c r="AM11" s="62">
        <f t="shared" ca="1" si="3"/>
        <v>0</v>
      </c>
      <c r="AN11" s="62">
        <f t="shared" ca="1" si="3"/>
        <v>0</v>
      </c>
      <c r="AR11" s="63"/>
    </row>
    <row r="12" spans="1:44" ht="15.75">
      <c r="A12" s="176"/>
      <c r="B12" s="173"/>
      <c r="C12" s="174"/>
      <c r="D12" s="170"/>
      <c r="E12" s="175"/>
      <c r="F12" s="172"/>
      <c r="G12" s="66">
        <f t="shared" ref="G12:G75" ca="1" si="5">IF(D12="",0,IF(F12="",IF(NOW()&gt;E12,TRUNC(NOW()-E12),0),0))</f>
        <v>0</v>
      </c>
      <c r="H12" s="62">
        <f t="shared" ca="1" si="4"/>
        <v>0</v>
      </c>
      <c r="I12" s="27"/>
      <c r="J12" s="62">
        <f t="shared" ca="1" si="2"/>
        <v>0</v>
      </c>
      <c r="K12" s="62">
        <f t="shared" ca="1" si="2"/>
        <v>0</v>
      </c>
      <c r="L12" s="62">
        <f t="shared" ca="1" si="2"/>
        <v>0</v>
      </c>
      <c r="M12" s="62">
        <f t="shared" ca="1" si="2"/>
        <v>0</v>
      </c>
      <c r="N12" s="62">
        <f t="shared" ca="1" si="2"/>
        <v>0</v>
      </c>
      <c r="O12" s="62">
        <f t="shared" ca="1" si="2"/>
        <v>0</v>
      </c>
      <c r="P12" s="62">
        <f t="shared" ca="1" si="2"/>
        <v>0</v>
      </c>
      <c r="Q12" s="62">
        <f t="shared" ca="1" si="2"/>
        <v>0</v>
      </c>
      <c r="R12" s="62">
        <f t="shared" ca="1" si="2"/>
        <v>0</v>
      </c>
      <c r="S12" s="62">
        <f t="shared" ca="1" si="2"/>
        <v>0</v>
      </c>
      <c r="T12" s="62">
        <f t="shared" ca="1" si="2"/>
        <v>0</v>
      </c>
      <c r="U12" s="62">
        <f t="shared" ca="1" si="2"/>
        <v>0</v>
      </c>
      <c r="V12" s="62">
        <f t="shared" ca="1" si="2"/>
        <v>0</v>
      </c>
      <c r="W12" s="62">
        <f t="shared" ca="1" si="2"/>
        <v>0</v>
      </c>
      <c r="X12" s="62">
        <f t="shared" ca="1" si="2"/>
        <v>0</v>
      </c>
      <c r="Y12" s="62">
        <f t="shared" ca="1" si="2"/>
        <v>0</v>
      </c>
      <c r="Z12" s="62">
        <f t="shared" ca="1" si="3"/>
        <v>0</v>
      </c>
      <c r="AA12" s="62">
        <f t="shared" ca="1" si="3"/>
        <v>0</v>
      </c>
      <c r="AB12" s="62">
        <f t="shared" ca="1" si="3"/>
        <v>0</v>
      </c>
      <c r="AC12" s="62">
        <f t="shared" ca="1" si="3"/>
        <v>0</v>
      </c>
      <c r="AD12" s="62">
        <f t="shared" ca="1" si="3"/>
        <v>0</v>
      </c>
      <c r="AE12" s="62">
        <f t="shared" ca="1" si="3"/>
        <v>0</v>
      </c>
      <c r="AF12" s="62">
        <f t="shared" ca="1" si="3"/>
        <v>0</v>
      </c>
      <c r="AG12" s="62">
        <f t="shared" ca="1" si="3"/>
        <v>0</v>
      </c>
      <c r="AH12" s="62">
        <f t="shared" ca="1" si="3"/>
        <v>0</v>
      </c>
      <c r="AI12" s="62">
        <f t="shared" ca="1" si="3"/>
        <v>0</v>
      </c>
      <c r="AJ12" s="62">
        <f t="shared" ca="1" si="3"/>
        <v>0</v>
      </c>
      <c r="AK12" s="62">
        <f t="shared" ca="1" si="3"/>
        <v>0</v>
      </c>
      <c r="AL12" s="62">
        <f t="shared" ca="1" si="3"/>
        <v>0</v>
      </c>
      <c r="AM12" s="62">
        <f t="shared" ca="1" si="3"/>
        <v>0</v>
      </c>
      <c r="AN12" s="62">
        <f t="shared" ca="1" si="3"/>
        <v>0</v>
      </c>
      <c r="AR12" s="63"/>
    </row>
    <row r="13" spans="1:44" ht="15.75">
      <c r="A13" s="176"/>
      <c r="B13" s="173"/>
      <c r="C13" s="174"/>
      <c r="D13" s="170"/>
      <c r="E13" s="175"/>
      <c r="F13" s="172"/>
      <c r="G13" s="66">
        <f t="shared" ca="1" si="5"/>
        <v>0</v>
      </c>
      <c r="H13" s="62">
        <f t="shared" ca="1" si="4"/>
        <v>0</v>
      </c>
      <c r="I13" s="27"/>
      <c r="J13" s="62">
        <f t="shared" ca="1" si="2"/>
        <v>0</v>
      </c>
      <c r="K13" s="62">
        <f t="shared" ca="1" si="2"/>
        <v>0</v>
      </c>
      <c r="L13" s="62">
        <f t="shared" ca="1" si="2"/>
        <v>0</v>
      </c>
      <c r="M13" s="62">
        <f t="shared" ca="1" si="2"/>
        <v>0</v>
      </c>
      <c r="N13" s="62">
        <f t="shared" ca="1" si="2"/>
        <v>0</v>
      </c>
      <c r="O13" s="62">
        <f t="shared" ca="1" si="2"/>
        <v>0</v>
      </c>
      <c r="P13" s="62">
        <f t="shared" ca="1" si="2"/>
        <v>0</v>
      </c>
      <c r="Q13" s="62">
        <f t="shared" ca="1" si="2"/>
        <v>0</v>
      </c>
      <c r="R13" s="62">
        <f t="shared" ca="1" si="2"/>
        <v>0</v>
      </c>
      <c r="S13" s="62">
        <f t="shared" ca="1" si="2"/>
        <v>0</v>
      </c>
      <c r="T13" s="62">
        <f t="shared" ca="1" si="2"/>
        <v>0</v>
      </c>
      <c r="U13" s="62">
        <f t="shared" ca="1" si="2"/>
        <v>0</v>
      </c>
      <c r="V13" s="62">
        <f t="shared" ca="1" si="2"/>
        <v>0</v>
      </c>
      <c r="W13" s="62">
        <f t="shared" ca="1" si="2"/>
        <v>0</v>
      </c>
      <c r="X13" s="62">
        <f t="shared" ca="1" si="2"/>
        <v>0</v>
      </c>
      <c r="Y13" s="62">
        <f t="shared" ca="1" si="2"/>
        <v>0</v>
      </c>
      <c r="Z13" s="62">
        <f t="shared" ca="1" si="3"/>
        <v>0</v>
      </c>
      <c r="AA13" s="62">
        <f t="shared" ca="1" si="3"/>
        <v>0</v>
      </c>
      <c r="AB13" s="62">
        <f t="shared" ca="1" si="3"/>
        <v>0</v>
      </c>
      <c r="AC13" s="62">
        <f t="shared" ca="1" si="3"/>
        <v>0</v>
      </c>
      <c r="AD13" s="62">
        <f t="shared" ca="1" si="3"/>
        <v>0</v>
      </c>
      <c r="AE13" s="62">
        <f t="shared" ca="1" si="3"/>
        <v>0</v>
      </c>
      <c r="AF13" s="62">
        <f t="shared" ca="1" si="3"/>
        <v>0</v>
      </c>
      <c r="AG13" s="62">
        <f t="shared" ca="1" si="3"/>
        <v>0</v>
      </c>
      <c r="AH13" s="62">
        <f t="shared" ca="1" si="3"/>
        <v>0</v>
      </c>
      <c r="AI13" s="62">
        <f t="shared" ca="1" si="3"/>
        <v>0</v>
      </c>
      <c r="AJ13" s="62">
        <f t="shared" ca="1" si="3"/>
        <v>0</v>
      </c>
      <c r="AK13" s="62">
        <f t="shared" ca="1" si="3"/>
        <v>0</v>
      </c>
      <c r="AL13" s="62">
        <f t="shared" ca="1" si="3"/>
        <v>0</v>
      </c>
      <c r="AM13" s="62">
        <f t="shared" ca="1" si="3"/>
        <v>0</v>
      </c>
      <c r="AN13" s="62">
        <f t="shared" ca="1" si="3"/>
        <v>0</v>
      </c>
      <c r="AR13" s="63"/>
    </row>
    <row r="14" spans="1:44" ht="15.75">
      <c r="A14" s="176"/>
      <c r="B14" s="173"/>
      <c r="C14" s="174"/>
      <c r="D14" s="170"/>
      <c r="E14" s="175"/>
      <c r="F14" s="172"/>
      <c r="G14" s="66">
        <f t="shared" ca="1" si="5"/>
        <v>0</v>
      </c>
      <c r="H14" s="62">
        <f t="shared" ca="1" si="4"/>
        <v>0</v>
      </c>
      <c r="I14" s="27"/>
      <c r="J14" s="62">
        <f t="shared" ca="1" si="2"/>
        <v>0</v>
      </c>
      <c r="K14" s="62">
        <f t="shared" ca="1" si="2"/>
        <v>0</v>
      </c>
      <c r="L14" s="62">
        <f t="shared" ca="1" si="2"/>
        <v>0</v>
      </c>
      <c r="M14" s="62">
        <f t="shared" ca="1" si="2"/>
        <v>0</v>
      </c>
      <c r="N14" s="62">
        <f t="shared" ca="1" si="2"/>
        <v>0</v>
      </c>
      <c r="O14" s="62">
        <f t="shared" ca="1" si="2"/>
        <v>0</v>
      </c>
      <c r="P14" s="62">
        <f t="shared" ca="1" si="2"/>
        <v>0</v>
      </c>
      <c r="Q14" s="62">
        <f t="shared" ca="1" si="2"/>
        <v>0</v>
      </c>
      <c r="R14" s="62">
        <f t="shared" ca="1" si="2"/>
        <v>0</v>
      </c>
      <c r="S14" s="62">
        <f t="shared" ca="1" si="2"/>
        <v>0</v>
      </c>
      <c r="T14" s="62">
        <f t="shared" ca="1" si="2"/>
        <v>0</v>
      </c>
      <c r="U14" s="62">
        <f t="shared" ca="1" si="2"/>
        <v>0</v>
      </c>
      <c r="V14" s="62">
        <f t="shared" ca="1" si="2"/>
        <v>0</v>
      </c>
      <c r="W14" s="62">
        <f t="shared" ca="1" si="2"/>
        <v>0</v>
      </c>
      <c r="X14" s="62">
        <f t="shared" ca="1" si="2"/>
        <v>0</v>
      </c>
      <c r="Y14" s="62">
        <f t="shared" ca="1" si="2"/>
        <v>0</v>
      </c>
      <c r="Z14" s="62">
        <f t="shared" ca="1" si="3"/>
        <v>0</v>
      </c>
      <c r="AA14" s="62">
        <f t="shared" ca="1" si="3"/>
        <v>0</v>
      </c>
      <c r="AB14" s="62">
        <f t="shared" ca="1" si="3"/>
        <v>0</v>
      </c>
      <c r="AC14" s="62">
        <f t="shared" ca="1" si="3"/>
        <v>0</v>
      </c>
      <c r="AD14" s="62">
        <f t="shared" ca="1" si="3"/>
        <v>0</v>
      </c>
      <c r="AE14" s="62">
        <f t="shared" ca="1" si="3"/>
        <v>0</v>
      </c>
      <c r="AF14" s="62">
        <f t="shared" ca="1" si="3"/>
        <v>0</v>
      </c>
      <c r="AG14" s="62">
        <f t="shared" ca="1" si="3"/>
        <v>0</v>
      </c>
      <c r="AH14" s="62">
        <f t="shared" ca="1" si="3"/>
        <v>0</v>
      </c>
      <c r="AI14" s="62">
        <f t="shared" ca="1" si="3"/>
        <v>0</v>
      </c>
      <c r="AJ14" s="62">
        <f t="shared" ca="1" si="3"/>
        <v>0</v>
      </c>
      <c r="AK14" s="62">
        <f t="shared" ca="1" si="3"/>
        <v>0</v>
      </c>
      <c r="AL14" s="62">
        <f t="shared" ca="1" si="3"/>
        <v>0</v>
      </c>
      <c r="AM14" s="62">
        <f t="shared" ca="1" si="3"/>
        <v>0</v>
      </c>
      <c r="AN14" s="62">
        <f t="shared" ca="1" si="3"/>
        <v>0</v>
      </c>
      <c r="AR14" s="63"/>
    </row>
    <row r="15" spans="1:44" ht="15.75">
      <c r="A15" s="167"/>
      <c r="B15" s="173"/>
      <c r="C15" s="174"/>
      <c r="D15" s="170"/>
      <c r="E15" s="175"/>
      <c r="F15" s="172"/>
      <c r="G15" s="66">
        <f t="shared" ca="1" si="5"/>
        <v>0</v>
      </c>
      <c r="H15" s="62">
        <f t="shared" ca="1" si="4"/>
        <v>0</v>
      </c>
      <c r="I15" s="27"/>
      <c r="J15" s="62">
        <f t="shared" ca="1" si="2"/>
        <v>0</v>
      </c>
      <c r="K15" s="62">
        <f t="shared" ca="1" si="2"/>
        <v>0</v>
      </c>
      <c r="L15" s="62">
        <f t="shared" ca="1" si="2"/>
        <v>0</v>
      </c>
      <c r="M15" s="62">
        <f t="shared" ca="1" si="2"/>
        <v>0</v>
      </c>
      <c r="N15" s="62">
        <f t="shared" ca="1" si="2"/>
        <v>0</v>
      </c>
      <c r="O15" s="62">
        <f t="shared" ca="1" si="2"/>
        <v>0</v>
      </c>
      <c r="P15" s="62">
        <f t="shared" ca="1" si="2"/>
        <v>0</v>
      </c>
      <c r="Q15" s="62">
        <f t="shared" ca="1" si="2"/>
        <v>0</v>
      </c>
      <c r="R15" s="62">
        <f t="shared" ca="1" si="2"/>
        <v>0</v>
      </c>
      <c r="S15" s="62">
        <f t="shared" ca="1" si="2"/>
        <v>0</v>
      </c>
      <c r="T15" s="62">
        <f t="shared" ca="1" si="2"/>
        <v>0</v>
      </c>
      <c r="U15" s="62">
        <f t="shared" ca="1" si="2"/>
        <v>0</v>
      </c>
      <c r="V15" s="62">
        <f t="shared" ca="1" si="2"/>
        <v>0</v>
      </c>
      <c r="W15" s="62">
        <f t="shared" ca="1" si="2"/>
        <v>0</v>
      </c>
      <c r="X15" s="62">
        <f t="shared" ca="1" si="2"/>
        <v>0</v>
      </c>
      <c r="Y15" s="62">
        <f t="shared" ca="1" si="2"/>
        <v>0</v>
      </c>
      <c r="Z15" s="62">
        <f t="shared" ca="1" si="3"/>
        <v>0</v>
      </c>
      <c r="AA15" s="62">
        <f t="shared" ca="1" si="3"/>
        <v>0</v>
      </c>
      <c r="AB15" s="62">
        <f t="shared" ca="1" si="3"/>
        <v>0</v>
      </c>
      <c r="AC15" s="62">
        <f t="shared" ca="1" si="3"/>
        <v>0</v>
      </c>
      <c r="AD15" s="62">
        <f t="shared" ca="1" si="3"/>
        <v>0</v>
      </c>
      <c r="AE15" s="62">
        <f t="shared" ca="1" si="3"/>
        <v>0</v>
      </c>
      <c r="AF15" s="62">
        <f t="shared" ca="1" si="3"/>
        <v>0</v>
      </c>
      <c r="AG15" s="62">
        <f t="shared" ca="1" si="3"/>
        <v>0</v>
      </c>
      <c r="AH15" s="62">
        <f t="shared" ca="1" si="3"/>
        <v>0</v>
      </c>
      <c r="AI15" s="62">
        <f t="shared" ca="1" si="3"/>
        <v>0</v>
      </c>
      <c r="AJ15" s="62">
        <f t="shared" ca="1" si="3"/>
        <v>0</v>
      </c>
      <c r="AK15" s="62">
        <f t="shared" ca="1" si="3"/>
        <v>0</v>
      </c>
      <c r="AL15" s="62">
        <f t="shared" ca="1" si="3"/>
        <v>0</v>
      </c>
      <c r="AM15" s="62">
        <f t="shared" ca="1" si="3"/>
        <v>0</v>
      </c>
      <c r="AN15" s="62">
        <f t="shared" ca="1" si="3"/>
        <v>0</v>
      </c>
      <c r="AR15" s="63"/>
    </row>
    <row r="16" spans="1:44" ht="15.75">
      <c r="A16" s="176"/>
      <c r="B16" s="173"/>
      <c r="C16" s="174"/>
      <c r="D16" s="170"/>
      <c r="E16" s="175"/>
      <c r="F16" s="172"/>
      <c r="G16" s="66">
        <f t="shared" ca="1" si="5"/>
        <v>0</v>
      </c>
      <c r="H16" s="62">
        <f t="shared" ca="1" si="4"/>
        <v>0</v>
      </c>
      <c r="I16" s="27"/>
      <c r="J16" s="62">
        <f t="shared" ca="1" si="2"/>
        <v>0</v>
      </c>
      <c r="K16" s="62">
        <f t="shared" ca="1" si="2"/>
        <v>0</v>
      </c>
      <c r="L16" s="62">
        <f t="shared" ca="1" si="2"/>
        <v>0</v>
      </c>
      <c r="M16" s="62">
        <f t="shared" ca="1" si="2"/>
        <v>0</v>
      </c>
      <c r="N16" s="62">
        <f t="shared" ca="1" si="2"/>
        <v>0</v>
      </c>
      <c r="O16" s="62">
        <f t="shared" ca="1" si="2"/>
        <v>0</v>
      </c>
      <c r="P16" s="62">
        <f t="shared" ca="1" si="2"/>
        <v>0</v>
      </c>
      <c r="Q16" s="62">
        <f t="shared" ca="1" si="2"/>
        <v>0</v>
      </c>
      <c r="R16" s="62">
        <f t="shared" ca="1" si="2"/>
        <v>0</v>
      </c>
      <c r="S16" s="62">
        <f t="shared" ca="1" si="2"/>
        <v>0</v>
      </c>
      <c r="T16" s="62">
        <f t="shared" ca="1" si="2"/>
        <v>0</v>
      </c>
      <c r="U16" s="62">
        <f t="shared" ca="1" si="2"/>
        <v>0</v>
      </c>
      <c r="V16" s="62">
        <f t="shared" ca="1" si="2"/>
        <v>0</v>
      </c>
      <c r="W16" s="62">
        <f t="shared" ca="1" si="2"/>
        <v>0</v>
      </c>
      <c r="X16" s="62">
        <f t="shared" ca="1" si="2"/>
        <v>0</v>
      </c>
      <c r="Y16" s="62">
        <f t="shared" ca="1" si="2"/>
        <v>0</v>
      </c>
      <c r="Z16" s="62">
        <f t="shared" ca="1" si="3"/>
        <v>0</v>
      </c>
      <c r="AA16" s="62">
        <f t="shared" ca="1" si="3"/>
        <v>0</v>
      </c>
      <c r="AB16" s="62">
        <f t="shared" ca="1" si="3"/>
        <v>0</v>
      </c>
      <c r="AC16" s="62">
        <f t="shared" ca="1" si="3"/>
        <v>0</v>
      </c>
      <c r="AD16" s="62">
        <f t="shared" ca="1" si="3"/>
        <v>0</v>
      </c>
      <c r="AE16" s="62">
        <f t="shared" ca="1" si="3"/>
        <v>0</v>
      </c>
      <c r="AF16" s="62">
        <f t="shared" ca="1" si="3"/>
        <v>0</v>
      </c>
      <c r="AG16" s="62">
        <f t="shared" ca="1" si="3"/>
        <v>0</v>
      </c>
      <c r="AH16" s="62">
        <f t="shared" ca="1" si="3"/>
        <v>0</v>
      </c>
      <c r="AI16" s="62">
        <f t="shared" ca="1" si="3"/>
        <v>0</v>
      </c>
      <c r="AJ16" s="62">
        <f t="shared" ca="1" si="3"/>
        <v>0</v>
      </c>
      <c r="AK16" s="62">
        <f t="shared" ca="1" si="3"/>
        <v>0</v>
      </c>
      <c r="AL16" s="62">
        <f t="shared" ca="1" si="3"/>
        <v>0</v>
      </c>
      <c r="AM16" s="62">
        <f t="shared" ca="1" si="3"/>
        <v>0</v>
      </c>
      <c r="AN16" s="62">
        <f t="shared" ca="1" si="3"/>
        <v>0</v>
      </c>
      <c r="AR16" s="63"/>
    </row>
    <row r="17" spans="1:44" ht="15.75">
      <c r="A17" s="176"/>
      <c r="B17" s="173"/>
      <c r="C17" s="174"/>
      <c r="D17" s="170"/>
      <c r="E17" s="175"/>
      <c r="F17" s="172"/>
      <c r="G17" s="66">
        <f t="shared" ca="1" si="5"/>
        <v>0</v>
      </c>
      <c r="H17" s="62">
        <f t="shared" ca="1" si="4"/>
        <v>0</v>
      </c>
      <c r="I17" s="27"/>
      <c r="J17" s="62">
        <f t="shared" ca="1" si="2"/>
        <v>0</v>
      </c>
      <c r="K17" s="62">
        <f t="shared" ca="1" si="2"/>
        <v>0</v>
      </c>
      <c r="L17" s="62">
        <f t="shared" ca="1" si="2"/>
        <v>0</v>
      </c>
      <c r="M17" s="62">
        <f t="shared" ca="1" si="2"/>
        <v>0</v>
      </c>
      <c r="N17" s="62">
        <f t="shared" ca="1" si="2"/>
        <v>0</v>
      </c>
      <c r="O17" s="62">
        <f t="shared" ca="1" si="2"/>
        <v>0</v>
      </c>
      <c r="P17" s="62">
        <f t="shared" ca="1" si="2"/>
        <v>0</v>
      </c>
      <c r="Q17" s="62">
        <f t="shared" ca="1" si="2"/>
        <v>0</v>
      </c>
      <c r="R17" s="62">
        <f t="shared" ca="1" si="2"/>
        <v>0</v>
      </c>
      <c r="S17" s="62">
        <f t="shared" ca="1" si="2"/>
        <v>0</v>
      </c>
      <c r="T17" s="62">
        <f t="shared" ca="1" si="2"/>
        <v>0</v>
      </c>
      <c r="U17" s="62">
        <f t="shared" ca="1" si="2"/>
        <v>0</v>
      </c>
      <c r="V17" s="62">
        <f t="shared" ca="1" si="2"/>
        <v>0</v>
      </c>
      <c r="W17" s="62">
        <f t="shared" ca="1" si="2"/>
        <v>0</v>
      </c>
      <c r="X17" s="62">
        <f t="shared" ca="1" si="2"/>
        <v>0</v>
      </c>
      <c r="Y17" s="62">
        <f t="shared" ca="1" si="2"/>
        <v>0</v>
      </c>
      <c r="Z17" s="62">
        <f t="shared" ca="1" si="3"/>
        <v>0</v>
      </c>
      <c r="AA17" s="62">
        <f t="shared" ca="1" si="3"/>
        <v>0</v>
      </c>
      <c r="AB17" s="62">
        <f t="shared" ca="1" si="3"/>
        <v>0</v>
      </c>
      <c r="AC17" s="62">
        <f t="shared" ca="1" si="3"/>
        <v>0</v>
      </c>
      <c r="AD17" s="62">
        <f t="shared" ca="1" si="3"/>
        <v>0</v>
      </c>
      <c r="AE17" s="62">
        <f t="shared" ca="1" si="3"/>
        <v>0</v>
      </c>
      <c r="AF17" s="62">
        <f t="shared" ca="1" si="3"/>
        <v>0</v>
      </c>
      <c r="AG17" s="62">
        <f t="shared" ca="1" si="3"/>
        <v>0</v>
      </c>
      <c r="AH17" s="62">
        <f t="shared" ca="1" si="3"/>
        <v>0</v>
      </c>
      <c r="AI17" s="62">
        <f t="shared" ca="1" si="3"/>
        <v>0</v>
      </c>
      <c r="AJ17" s="62">
        <f t="shared" ca="1" si="3"/>
        <v>0</v>
      </c>
      <c r="AK17" s="62">
        <f t="shared" ca="1" si="3"/>
        <v>0</v>
      </c>
      <c r="AL17" s="62">
        <f t="shared" ca="1" si="3"/>
        <v>0</v>
      </c>
      <c r="AM17" s="62">
        <f t="shared" ca="1" si="3"/>
        <v>0</v>
      </c>
      <c r="AN17" s="62">
        <f t="shared" ca="1" si="3"/>
        <v>0</v>
      </c>
      <c r="AR17" s="63"/>
    </row>
    <row r="18" spans="1:44" ht="15.75">
      <c r="A18" s="167"/>
      <c r="B18" s="173"/>
      <c r="C18" s="174"/>
      <c r="D18" s="170"/>
      <c r="E18" s="175"/>
      <c r="F18" s="172"/>
      <c r="G18" s="66">
        <f t="shared" ca="1" si="5"/>
        <v>0</v>
      </c>
      <c r="H18" s="62">
        <f t="shared" ca="1" si="4"/>
        <v>0</v>
      </c>
      <c r="I18" s="27"/>
      <c r="J18" s="62">
        <f t="shared" ca="1" si="2"/>
        <v>0</v>
      </c>
      <c r="K18" s="62">
        <f t="shared" ca="1" si="2"/>
        <v>0</v>
      </c>
      <c r="L18" s="62">
        <f t="shared" ca="1" si="2"/>
        <v>0</v>
      </c>
      <c r="M18" s="62">
        <f t="shared" ca="1" si="2"/>
        <v>0</v>
      </c>
      <c r="N18" s="62">
        <f t="shared" ca="1" si="2"/>
        <v>0</v>
      </c>
      <c r="O18" s="62">
        <f t="shared" ca="1" si="2"/>
        <v>0</v>
      </c>
      <c r="P18" s="62">
        <f t="shared" ca="1" si="2"/>
        <v>0</v>
      </c>
      <c r="Q18" s="62">
        <f t="shared" ca="1" si="2"/>
        <v>0</v>
      </c>
      <c r="R18" s="62">
        <f t="shared" ca="1" si="2"/>
        <v>0</v>
      </c>
      <c r="S18" s="62">
        <f t="shared" ca="1" si="2"/>
        <v>0</v>
      </c>
      <c r="T18" s="62">
        <f t="shared" ca="1" si="2"/>
        <v>0</v>
      </c>
      <c r="U18" s="62">
        <f t="shared" ca="1" si="2"/>
        <v>0</v>
      </c>
      <c r="V18" s="62">
        <f t="shared" ca="1" si="2"/>
        <v>0</v>
      </c>
      <c r="W18" s="62">
        <f t="shared" ca="1" si="2"/>
        <v>0</v>
      </c>
      <c r="X18" s="62">
        <f t="shared" ca="1" si="2"/>
        <v>0</v>
      </c>
      <c r="Y18" s="62">
        <f t="shared" ca="1" si="2"/>
        <v>0</v>
      </c>
      <c r="Z18" s="62">
        <f t="shared" ca="1" si="3"/>
        <v>0</v>
      </c>
      <c r="AA18" s="62">
        <f t="shared" ca="1" si="3"/>
        <v>0</v>
      </c>
      <c r="AB18" s="62">
        <f t="shared" ca="1" si="3"/>
        <v>0</v>
      </c>
      <c r="AC18" s="62">
        <f t="shared" ca="1" si="3"/>
        <v>0</v>
      </c>
      <c r="AD18" s="62">
        <f t="shared" ca="1" si="3"/>
        <v>0</v>
      </c>
      <c r="AE18" s="62">
        <f t="shared" ca="1" si="3"/>
        <v>0</v>
      </c>
      <c r="AF18" s="62">
        <f t="shared" ca="1" si="3"/>
        <v>0</v>
      </c>
      <c r="AG18" s="62">
        <f t="shared" ca="1" si="3"/>
        <v>0</v>
      </c>
      <c r="AH18" s="62">
        <f t="shared" ca="1" si="3"/>
        <v>0</v>
      </c>
      <c r="AI18" s="62">
        <f t="shared" ca="1" si="3"/>
        <v>0</v>
      </c>
      <c r="AJ18" s="62">
        <f t="shared" ca="1" si="3"/>
        <v>0</v>
      </c>
      <c r="AK18" s="62">
        <f t="shared" ca="1" si="3"/>
        <v>0</v>
      </c>
      <c r="AL18" s="62">
        <f t="shared" ca="1" si="3"/>
        <v>0</v>
      </c>
      <c r="AM18" s="62">
        <f t="shared" ca="1" si="3"/>
        <v>0</v>
      </c>
      <c r="AN18" s="62">
        <f t="shared" ca="1" si="3"/>
        <v>0</v>
      </c>
      <c r="AR18" s="63"/>
    </row>
    <row r="19" spans="1:44" ht="15.75">
      <c r="A19" s="176"/>
      <c r="B19" s="173"/>
      <c r="C19" s="174"/>
      <c r="D19" s="170"/>
      <c r="E19" s="175"/>
      <c r="F19" s="172"/>
      <c r="G19" s="66">
        <f t="shared" ca="1" si="5"/>
        <v>0</v>
      </c>
      <c r="H19" s="62">
        <f t="shared" ca="1" si="4"/>
        <v>0</v>
      </c>
      <c r="I19" s="27"/>
      <c r="J19" s="62">
        <f t="shared" ca="1" si="2"/>
        <v>0</v>
      </c>
      <c r="K19" s="62">
        <f t="shared" ca="1" si="2"/>
        <v>0</v>
      </c>
      <c r="L19" s="62">
        <f t="shared" ca="1" si="2"/>
        <v>0</v>
      </c>
      <c r="M19" s="62">
        <f t="shared" ca="1" si="2"/>
        <v>0</v>
      </c>
      <c r="N19" s="62">
        <f t="shared" ca="1" si="2"/>
        <v>0</v>
      </c>
      <c r="O19" s="62">
        <f t="shared" ca="1" si="2"/>
        <v>0</v>
      </c>
      <c r="P19" s="62">
        <f t="shared" ca="1" si="2"/>
        <v>0</v>
      </c>
      <c r="Q19" s="62">
        <f t="shared" ca="1" si="2"/>
        <v>0</v>
      </c>
      <c r="R19" s="62">
        <f t="shared" ca="1" si="2"/>
        <v>0</v>
      </c>
      <c r="S19" s="62">
        <f t="shared" ca="1" si="2"/>
        <v>0</v>
      </c>
      <c r="T19" s="62">
        <f t="shared" ca="1" si="2"/>
        <v>0</v>
      </c>
      <c r="U19" s="62">
        <f t="shared" ca="1" si="2"/>
        <v>0</v>
      </c>
      <c r="V19" s="62">
        <f t="shared" ca="1" si="2"/>
        <v>0</v>
      </c>
      <c r="W19" s="62">
        <f t="shared" ca="1" si="2"/>
        <v>0</v>
      </c>
      <c r="X19" s="62">
        <f t="shared" ca="1" si="2"/>
        <v>0</v>
      </c>
      <c r="Y19" s="62">
        <f t="shared" ca="1" si="2"/>
        <v>0</v>
      </c>
      <c r="Z19" s="62">
        <f t="shared" ca="1" si="3"/>
        <v>0</v>
      </c>
      <c r="AA19" s="62">
        <f t="shared" ca="1" si="3"/>
        <v>0</v>
      </c>
      <c r="AB19" s="62">
        <f t="shared" ca="1" si="3"/>
        <v>0</v>
      </c>
      <c r="AC19" s="62">
        <f t="shared" ca="1" si="3"/>
        <v>0</v>
      </c>
      <c r="AD19" s="62">
        <f t="shared" ca="1" si="3"/>
        <v>0</v>
      </c>
      <c r="AE19" s="62">
        <f t="shared" ca="1" si="3"/>
        <v>0</v>
      </c>
      <c r="AF19" s="62">
        <f t="shared" ca="1" si="3"/>
        <v>0</v>
      </c>
      <c r="AG19" s="62">
        <f t="shared" ca="1" si="3"/>
        <v>0</v>
      </c>
      <c r="AH19" s="62">
        <f t="shared" ca="1" si="3"/>
        <v>0</v>
      </c>
      <c r="AI19" s="62">
        <f t="shared" ca="1" si="3"/>
        <v>0</v>
      </c>
      <c r="AJ19" s="62">
        <f t="shared" ca="1" si="3"/>
        <v>0</v>
      </c>
      <c r="AK19" s="62">
        <f t="shared" ca="1" si="3"/>
        <v>0</v>
      </c>
      <c r="AL19" s="62">
        <f t="shared" ca="1" si="3"/>
        <v>0</v>
      </c>
      <c r="AM19" s="62">
        <f t="shared" ca="1" si="3"/>
        <v>0</v>
      </c>
      <c r="AN19" s="62">
        <f t="shared" ca="1" si="3"/>
        <v>0</v>
      </c>
      <c r="AR19" s="63"/>
    </row>
    <row r="20" spans="1:44" ht="15.75">
      <c r="A20" s="167"/>
      <c r="B20" s="173"/>
      <c r="C20" s="174"/>
      <c r="D20" s="170"/>
      <c r="E20" s="175"/>
      <c r="F20" s="172"/>
      <c r="G20" s="66">
        <f t="shared" ca="1" si="5"/>
        <v>0</v>
      </c>
      <c r="H20" s="62">
        <f t="shared" ca="1" si="4"/>
        <v>0</v>
      </c>
      <c r="I20" s="27"/>
      <c r="J20" s="62">
        <f t="shared" ca="1" si="2"/>
        <v>0</v>
      </c>
      <c r="K20" s="62">
        <f t="shared" ca="1" si="2"/>
        <v>0</v>
      </c>
      <c r="L20" s="62">
        <f t="shared" ca="1" si="2"/>
        <v>0</v>
      </c>
      <c r="M20" s="62">
        <f t="shared" ca="1" si="2"/>
        <v>0</v>
      </c>
      <c r="N20" s="62">
        <f t="shared" ca="1" si="2"/>
        <v>0</v>
      </c>
      <c r="O20" s="62">
        <f t="shared" ca="1" si="2"/>
        <v>0</v>
      </c>
      <c r="P20" s="62">
        <f t="shared" ca="1" si="2"/>
        <v>0</v>
      </c>
      <c r="Q20" s="62">
        <f t="shared" ca="1" si="2"/>
        <v>0</v>
      </c>
      <c r="R20" s="62">
        <f t="shared" ca="1" si="2"/>
        <v>0</v>
      </c>
      <c r="S20" s="62">
        <f t="shared" ca="1" si="2"/>
        <v>0</v>
      </c>
      <c r="T20" s="62">
        <f t="shared" ca="1" si="2"/>
        <v>0</v>
      </c>
      <c r="U20" s="62">
        <f t="shared" ca="1" si="2"/>
        <v>0</v>
      </c>
      <c r="V20" s="62">
        <f t="shared" ca="1" si="2"/>
        <v>0</v>
      </c>
      <c r="W20" s="62">
        <f t="shared" ca="1" si="2"/>
        <v>0</v>
      </c>
      <c r="X20" s="62">
        <f t="shared" ca="1" si="2"/>
        <v>0</v>
      </c>
      <c r="Y20" s="62">
        <f t="shared" ca="1" si="2"/>
        <v>0</v>
      </c>
      <c r="Z20" s="62">
        <f t="shared" ca="1" si="3"/>
        <v>0</v>
      </c>
      <c r="AA20" s="62">
        <f t="shared" ca="1" si="3"/>
        <v>0</v>
      </c>
      <c r="AB20" s="62">
        <f t="shared" ca="1" si="3"/>
        <v>0</v>
      </c>
      <c r="AC20" s="62">
        <f t="shared" ca="1" si="3"/>
        <v>0</v>
      </c>
      <c r="AD20" s="62">
        <f t="shared" ca="1" si="3"/>
        <v>0</v>
      </c>
      <c r="AE20" s="62">
        <f t="shared" ca="1" si="3"/>
        <v>0</v>
      </c>
      <c r="AF20" s="62">
        <f t="shared" ca="1" si="3"/>
        <v>0</v>
      </c>
      <c r="AG20" s="62">
        <f t="shared" ca="1" si="3"/>
        <v>0</v>
      </c>
      <c r="AH20" s="62">
        <f t="shared" ca="1" si="3"/>
        <v>0</v>
      </c>
      <c r="AI20" s="62">
        <f t="shared" ca="1" si="3"/>
        <v>0</v>
      </c>
      <c r="AJ20" s="62">
        <f t="shared" ca="1" si="3"/>
        <v>0</v>
      </c>
      <c r="AK20" s="62">
        <f t="shared" ca="1" si="3"/>
        <v>0</v>
      </c>
      <c r="AL20" s="62">
        <f t="shared" ca="1" si="3"/>
        <v>0</v>
      </c>
      <c r="AM20" s="62">
        <f t="shared" ca="1" si="3"/>
        <v>0</v>
      </c>
      <c r="AN20" s="62">
        <f t="shared" ca="1" si="3"/>
        <v>0</v>
      </c>
      <c r="AR20" s="63"/>
    </row>
    <row r="21" spans="1:44" ht="15.75">
      <c r="A21" s="167"/>
      <c r="B21" s="173"/>
      <c r="C21" s="174"/>
      <c r="D21" s="170"/>
      <c r="E21" s="175"/>
      <c r="F21" s="172"/>
      <c r="G21" s="66">
        <f t="shared" ca="1" si="5"/>
        <v>0</v>
      </c>
      <c r="H21" s="62">
        <f t="shared" ca="1" si="4"/>
        <v>0</v>
      </c>
      <c r="I21" s="27"/>
      <c r="J21" s="62">
        <f t="shared" ca="1" si="2"/>
        <v>0</v>
      </c>
      <c r="K21" s="62">
        <f t="shared" ca="1" si="2"/>
        <v>0</v>
      </c>
      <c r="L21" s="62">
        <f t="shared" ca="1" si="2"/>
        <v>0</v>
      </c>
      <c r="M21" s="62">
        <f t="shared" ca="1" si="2"/>
        <v>0</v>
      </c>
      <c r="N21" s="62">
        <f t="shared" ca="1" si="2"/>
        <v>0</v>
      </c>
      <c r="O21" s="62">
        <f t="shared" ca="1" si="2"/>
        <v>0</v>
      </c>
      <c r="P21" s="62">
        <f t="shared" ca="1" si="2"/>
        <v>0</v>
      </c>
      <c r="Q21" s="62">
        <f t="shared" ca="1" si="2"/>
        <v>0</v>
      </c>
      <c r="R21" s="62">
        <f t="shared" ca="1" si="2"/>
        <v>0</v>
      </c>
      <c r="S21" s="62">
        <f t="shared" ca="1" si="2"/>
        <v>0</v>
      </c>
      <c r="T21" s="62">
        <f t="shared" ca="1" si="2"/>
        <v>0</v>
      </c>
      <c r="U21" s="62">
        <f t="shared" ca="1" si="2"/>
        <v>0</v>
      </c>
      <c r="V21" s="62">
        <f t="shared" ca="1" si="2"/>
        <v>0</v>
      </c>
      <c r="W21" s="62">
        <f t="shared" ca="1" si="2"/>
        <v>0</v>
      </c>
      <c r="X21" s="62">
        <f t="shared" ca="1" si="2"/>
        <v>0</v>
      </c>
      <c r="Y21" s="62">
        <f t="shared" ca="1" si="2"/>
        <v>0</v>
      </c>
      <c r="Z21" s="62">
        <f t="shared" ca="1" si="3"/>
        <v>0</v>
      </c>
      <c r="AA21" s="62">
        <f t="shared" ca="1" si="3"/>
        <v>0</v>
      </c>
      <c r="AB21" s="62">
        <f t="shared" ca="1" si="3"/>
        <v>0</v>
      </c>
      <c r="AC21" s="62">
        <f t="shared" ca="1" si="3"/>
        <v>0</v>
      </c>
      <c r="AD21" s="62">
        <f t="shared" ca="1" si="3"/>
        <v>0</v>
      </c>
      <c r="AE21" s="62">
        <f t="shared" ca="1" si="3"/>
        <v>0</v>
      </c>
      <c r="AF21" s="62">
        <f t="shared" ca="1" si="3"/>
        <v>0</v>
      </c>
      <c r="AG21" s="62">
        <f t="shared" ca="1" si="3"/>
        <v>0</v>
      </c>
      <c r="AH21" s="62">
        <f t="shared" ca="1" si="3"/>
        <v>0</v>
      </c>
      <c r="AI21" s="62">
        <f t="shared" ca="1" si="3"/>
        <v>0</v>
      </c>
      <c r="AJ21" s="62">
        <f t="shared" ca="1" si="3"/>
        <v>0</v>
      </c>
      <c r="AK21" s="62">
        <f t="shared" ca="1" si="3"/>
        <v>0</v>
      </c>
      <c r="AL21" s="62">
        <f t="shared" ca="1" si="3"/>
        <v>0</v>
      </c>
      <c r="AM21" s="62">
        <f t="shared" ca="1" si="3"/>
        <v>0</v>
      </c>
      <c r="AN21" s="62">
        <f t="shared" ca="1" si="3"/>
        <v>0</v>
      </c>
      <c r="AR21" s="63"/>
    </row>
    <row r="22" spans="1:44" ht="15.75">
      <c r="A22" s="176"/>
      <c r="B22" s="173"/>
      <c r="C22" s="174"/>
      <c r="D22" s="170"/>
      <c r="E22" s="175"/>
      <c r="F22" s="172"/>
      <c r="G22" s="66">
        <f t="shared" ca="1" si="5"/>
        <v>0</v>
      </c>
      <c r="H22" s="62">
        <f t="shared" ca="1" si="4"/>
        <v>0</v>
      </c>
      <c r="I22" s="27"/>
      <c r="J22" s="62">
        <f t="shared" ca="1" si="2"/>
        <v>0</v>
      </c>
      <c r="K22" s="62">
        <f t="shared" ca="1" si="2"/>
        <v>0</v>
      </c>
      <c r="L22" s="62">
        <f t="shared" ca="1" si="2"/>
        <v>0</v>
      </c>
      <c r="M22" s="62">
        <f t="shared" ca="1" si="2"/>
        <v>0</v>
      </c>
      <c r="N22" s="62">
        <f t="shared" ca="1" si="2"/>
        <v>0</v>
      </c>
      <c r="O22" s="62">
        <f t="shared" ca="1" si="2"/>
        <v>0</v>
      </c>
      <c r="P22" s="62">
        <f t="shared" ca="1" si="2"/>
        <v>0</v>
      </c>
      <c r="Q22" s="62">
        <f t="shared" ca="1" si="2"/>
        <v>0</v>
      </c>
      <c r="R22" s="62">
        <f t="shared" ca="1" si="2"/>
        <v>0</v>
      </c>
      <c r="S22" s="62">
        <f t="shared" ca="1" si="2"/>
        <v>0</v>
      </c>
      <c r="T22" s="62">
        <f t="shared" ca="1" si="2"/>
        <v>0</v>
      </c>
      <c r="U22" s="62">
        <f t="shared" ca="1" si="2"/>
        <v>0</v>
      </c>
      <c r="V22" s="62">
        <f t="shared" ca="1" si="2"/>
        <v>0</v>
      </c>
      <c r="W22" s="62">
        <f t="shared" ca="1" si="2"/>
        <v>0</v>
      </c>
      <c r="X22" s="62">
        <f t="shared" ca="1" si="2"/>
        <v>0</v>
      </c>
      <c r="Y22" s="62">
        <f t="shared" ca="1" si="2"/>
        <v>0</v>
      </c>
      <c r="Z22" s="62">
        <f t="shared" ca="1" si="3"/>
        <v>0</v>
      </c>
      <c r="AA22" s="62">
        <f t="shared" ca="1" si="3"/>
        <v>0</v>
      </c>
      <c r="AB22" s="62">
        <f t="shared" ca="1" si="3"/>
        <v>0</v>
      </c>
      <c r="AC22" s="62">
        <f t="shared" ca="1" si="3"/>
        <v>0</v>
      </c>
      <c r="AD22" s="62">
        <f t="shared" ca="1" si="3"/>
        <v>0</v>
      </c>
      <c r="AE22" s="62">
        <f t="shared" ca="1" si="3"/>
        <v>0</v>
      </c>
      <c r="AF22" s="62">
        <f t="shared" ca="1" si="3"/>
        <v>0</v>
      </c>
      <c r="AG22" s="62">
        <f t="shared" ca="1" si="3"/>
        <v>0</v>
      </c>
      <c r="AH22" s="62">
        <f t="shared" ca="1" si="3"/>
        <v>0</v>
      </c>
      <c r="AI22" s="62">
        <f t="shared" ca="1" si="3"/>
        <v>0</v>
      </c>
      <c r="AJ22" s="62">
        <f t="shared" ca="1" si="3"/>
        <v>0</v>
      </c>
      <c r="AK22" s="62">
        <f t="shared" ca="1" si="3"/>
        <v>0</v>
      </c>
      <c r="AL22" s="62">
        <f t="shared" ca="1" si="3"/>
        <v>0</v>
      </c>
      <c r="AM22" s="62">
        <f t="shared" ca="1" si="3"/>
        <v>0</v>
      </c>
      <c r="AN22" s="62">
        <f t="shared" ca="1" si="3"/>
        <v>0</v>
      </c>
      <c r="AR22" s="63"/>
    </row>
    <row r="23" spans="1:44" ht="15.75">
      <c r="A23" s="167"/>
      <c r="B23" s="173"/>
      <c r="C23" s="174"/>
      <c r="D23" s="170"/>
      <c r="E23" s="175"/>
      <c r="F23" s="172"/>
      <c r="G23" s="66">
        <f t="shared" ca="1" si="5"/>
        <v>0</v>
      </c>
      <c r="H23" s="62">
        <f t="shared" ca="1" si="4"/>
        <v>0</v>
      </c>
      <c r="I23" s="27"/>
      <c r="J23" s="62">
        <f t="shared" ca="1" si="2"/>
        <v>0</v>
      </c>
      <c r="K23" s="62">
        <f t="shared" ca="1" si="2"/>
        <v>0</v>
      </c>
      <c r="L23" s="62">
        <f t="shared" ca="1" si="2"/>
        <v>0</v>
      </c>
      <c r="M23" s="62">
        <f t="shared" ca="1" si="2"/>
        <v>0</v>
      </c>
      <c r="N23" s="62">
        <f t="shared" ca="1" si="2"/>
        <v>0</v>
      </c>
      <c r="O23" s="62">
        <f t="shared" ca="1" si="2"/>
        <v>0</v>
      </c>
      <c r="P23" s="62">
        <f t="shared" ca="1" si="2"/>
        <v>0</v>
      </c>
      <c r="Q23" s="62">
        <f t="shared" ca="1" si="2"/>
        <v>0</v>
      </c>
      <c r="R23" s="62">
        <f t="shared" ca="1" si="2"/>
        <v>0</v>
      </c>
      <c r="S23" s="62">
        <f t="shared" ca="1" si="2"/>
        <v>0</v>
      </c>
      <c r="T23" s="62">
        <f t="shared" ca="1" si="2"/>
        <v>0</v>
      </c>
      <c r="U23" s="62">
        <f t="shared" ca="1" si="2"/>
        <v>0</v>
      </c>
      <c r="V23" s="62">
        <f t="shared" ca="1" si="2"/>
        <v>0</v>
      </c>
      <c r="W23" s="62">
        <f t="shared" ca="1" si="2"/>
        <v>0</v>
      </c>
      <c r="X23" s="62">
        <f t="shared" ca="1" si="2"/>
        <v>0</v>
      </c>
      <c r="Y23" s="62">
        <f t="shared" ca="1" si="2"/>
        <v>0</v>
      </c>
      <c r="Z23" s="62">
        <f t="shared" ca="1" si="3"/>
        <v>0</v>
      </c>
      <c r="AA23" s="62">
        <f t="shared" ca="1" si="3"/>
        <v>0</v>
      </c>
      <c r="AB23" s="62">
        <f t="shared" ca="1" si="3"/>
        <v>0</v>
      </c>
      <c r="AC23" s="62">
        <f t="shared" ca="1" si="3"/>
        <v>0</v>
      </c>
      <c r="AD23" s="62">
        <f t="shared" ca="1" si="3"/>
        <v>0</v>
      </c>
      <c r="AE23" s="62">
        <f t="shared" ca="1" si="3"/>
        <v>0</v>
      </c>
      <c r="AF23" s="62">
        <f t="shared" ca="1" si="3"/>
        <v>0</v>
      </c>
      <c r="AG23" s="62">
        <f t="shared" ca="1" si="3"/>
        <v>0</v>
      </c>
      <c r="AH23" s="62">
        <f t="shared" ca="1" si="3"/>
        <v>0</v>
      </c>
      <c r="AI23" s="62">
        <f t="shared" ca="1" si="3"/>
        <v>0</v>
      </c>
      <c r="AJ23" s="62">
        <f t="shared" ca="1" si="3"/>
        <v>0</v>
      </c>
      <c r="AK23" s="62">
        <f t="shared" ca="1" si="3"/>
        <v>0</v>
      </c>
      <c r="AL23" s="62">
        <f t="shared" ca="1" si="3"/>
        <v>0</v>
      </c>
      <c r="AM23" s="62">
        <f t="shared" ca="1" si="3"/>
        <v>0</v>
      </c>
      <c r="AN23" s="62">
        <f t="shared" ca="1" si="3"/>
        <v>0</v>
      </c>
      <c r="AR23" s="63"/>
    </row>
    <row r="24" spans="1:44" ht="15.75">
      <c r="A24" s="167"/>
      <c r="B24" s="173"/>
      <c r="C24" s="174"/>
      <c r="D24" s="170"/>
      <c r="E24" s="175"/>
      <c r="F24" s="172"/>
      <c r="G24" s="66">
        <f t="shared" ca="1" si="5"/>
        <v>0</v>
      </c>
      <c r="H24" s="62">
        <f t="shared" ca="1" si="4"/>
        <v>0</v>
      </c>
      <c r="I24" s="27"/>
      <c r="J24" s="62">
        <f t="shared" ca="1" si="2"/>
        <v>0</v>
      </c>
      <c r="K24" s="62">
        <f t="shared" ca="1" si="2"/>
        <v>0</v>
      </c>
      <c r="L24" s="62">
        <f t="shared" ca="1" si="2"/>
        <v>0</v>
      </c>
      <c r="M24" s="62">
        <f t="shared" ca="1" si="2"/>
        <v>0</v>
      </c>
      <c r="N24" s="62">
        <f t="shared" ca="1" si="2"/>
        <v>0</v>
      </c>
      <c r="O24" s="62">
        <f t="shared" ca="1" si="2"/>
        <v>0</v>
      </c>
      <c r="P24" s="62">
        <f t="shared" ca="1" si="2"/>
        <v>0</v>
      </c>
      <c r="Q24" s="62">
        <f t="shared" ca="1" si="2"/>
        <v>0</v>
      </c>
      <c r="R24" s="62">
        <f t="shared" ca="1" si="2"/>
        <v>0</v>
      </c>
      <c r="S24" s="62">
        <f t="shared" ca="1" si="2"/>
        <v>0</v>
      </c>
      <c r="T24" s="62">
        <f t="shared" ca="1" si="2"/>
        <v>0</v>
      </c>
      <c r="U24" s="62">
        <f t="shared" ca="1" si="2"/>
        <v>0</v>
      </c>
      <c r="V24" s="62">
        <f t="shared" ca="1" si="2"/>
        <v>0</v>
      </c>
      <c r="W24" s="62">
        <f t="shared" ca="1" si="2"/>
        <v>0</v>
      </c>
      <c r="X24" s="62">
        <f t="shared" ca="1" si="2"/>
        <v>0</v>
      </c>
      <c r="Y24" s="62">
        <f t="shared" ca="1" si="2"/>
        <v>0</v>
      </c>
      <c r="Z24" s="62">
        <f t="shared" ca="1" si="3"/>
        <v>0</v>
      </c>
      <c r="AA24" s="62">
        <f t="shared" ca="1" si="3"/>
        <v>0</v>
      </c>
      <c r="AB24" s="62">
        <f t="shared" ca="1" si="3"/>
        <v>0</v>
      </c>
      <c r="AC24" s="62">
        <f t="shared" ca="1" si="3"/>
        <v>0</v>
      </c>
      <c r="AD24" s="62">
        <f t="shared" ca="1" si="3"/>
        <v>0</v>
      </c>
      <c r="AE24" s="62">
        <f t="shared" ca="1" si="3"/>
        <v>0</v>
      </c>
      <c r="AF24" s="62">
        <f t="shared" ca="1" si="3"/>
        <v>0</v>
      </c>
      <c r="AG24" s="62">
        <f t="shared" ca="1" si="3"/>
        <v>0</v>
      </c>
      <c r="AH24" s="62">
        <f t="shared" ca="1" si="3"/>
        <v>0</v>
      </c>
      <c r="AI24" s="62">
        <f t="shared" ca="1" si="3"/>
        <v>0</v>
      </c>
      <c r="AJ24" s="62">
        <f t="shared" ca="1" si="3"/>
        <v>0</v>
      </c>
      <c r="AK24" s="62">
        <f t="shared" ca="1" si="3"/>
        <v>0</v>
      </c>
      <c r="AL24" s="62">
        <f t="shared" ca="1" si="3"/>
        <v>0</v>
      </c>
      <c r="AM24" s="62">
        <f t="shared" ca="1" si="3"/>
        <v>0</v>
      </c>
      <c r="AN24" s="62">
        <f t="shared" ca="1" si="3"/>
        <v>0</v>
      </c>
      <c r="AR24" s="63"/>
    </row>
    <row r="25" spans="1:44" ht="15.75">
      <c r="A25" s="167"/>
      <c r="B25" s="173"/>
      <c r="C25" s="174"/>
      <c r="D25" s="170"/>
      <c r="E25" s="175"/>
      <c r="F25" s="172"/>
      <c r="G25" s="66">
        <f t="shared" ca="1" si="5"/>
        <v>0</v>
      </c>
      <c r="H25" s="62">
        <f t="shared" ca="1" si="4"/>
        <v>0</v>
      </c>
      <c r="I25" s="27"/>
      <c r="J25" s="62">
        <f t="shared" ca="1" si="2"/>
        <v>0</v>
      </c>
      <c r="K25" s="62">
        <f t="shared" ca="1" si="2"/>
        <v>0</v>
      </c>
      <c r="L25" s="62">
        <f t="shared" ca="1" si="2"/>
        <v>0</v>
      </c>
      <c r="M25" s="62">
        <f t="shared" ca="1" si="2"/>
        <v>0</v>
      </c>
      <c r="N25" s="62">
        <f t="shared" ca="1" si="2"/>
        <v>0</v>
      </c>
      <c r="O25" s="62">
        <f t="shared" ca="1" si="2"/>
        <v>0</v>
      </c>
      <c r="P25" s="62">
        <f t="shared" ca="1" si="2"/>
        <v>0</v>
      </c>
      <c r="Q25" s="62">
        <f t="shared" ca="1" si="2"/>
        <v>0</v>
      </c>
      <c r="R25" s="62">
        <f t="shared" ca="1" si="2"/>
        <v>0</v>
      </c>
      <c r="S25" s="62">
        <f t="shared" ca="1" si="2"/>
        <v>0</v>
      </c>
      <c r="T25" s="62">
        <f t="shared" ca="1" si="2"/>
        <v>0</v>
      </c>
      <c r="U25" s="62">
        <f t="shared" ca="1" si="2"/>
        <v>0</v>
      </c>
      <c r="V25" s="62">
        <f t="shared" ca="1" si="2"/>
        <v>0</v>
      </c>
      <c r="W25" s="62">
        <f t="shared" ca="1" si="2"/>
        <v>0</v>
      </c>
      <c r="X25" s="62">
        <f t="shared" ca="1" si="2"/>
        <v>0</v>
      </c>
      <c r="Y25" s="62">
        <f t="shared" ref="Y25:AN40" ca="1" si="6">IF(ABS($E25-Y$9)&lt;0.5,$D25,0)</f>
        <v>0</v>
      </c>
      <c r="Z25" s="62">
        <f t="shared" ca="1" si="3"/>
        <v>0</v>
      </c>
      <c r="AA25" s="62">
        <f t="shared" ca="1" si="3"/>
        <v>0</v>
      </c>
      <c r="AB25" s="62">
        <f t="shared" ca="1" si="3"/>
        <v>0</v>
      </c>
      <c r="AC25" s="62">
        <f t="shared" ca="1" si="3"/>
        <v>0</v>
      </c>
      <c r="AD25" s="62">
        <f t="shared" ca="1" si="3"/>
        <v>0</v>
      </c>
      <c r="AE25" s="62">
        <f t="shared" ca="1" si="3"/>
        <v>0</v>
      </c>
      <c r="AF25" s="62">
        <f t="shared" ca="1" si="3"/>
        <v>0</v>
      </c>
      <c r="AG25" s="62">
        <f t="shared" ca="1" si="3"/>
        <v>0</v>
      </c>
      <c r="AH25" s="62">
        <f t="shared" ca="1" si="3"/>
        <v>0</v>
      </c>
      <c r="AI25" s="62">
        <f t="shared" ca="1" si="3"/>
        <v>0</v>
      </c>
      <c r="AJ25" s="62">
        <f t="shared" ca="1" si="3"/>
        <v>0</v>
      </c>
      <c r="AK25" s="62">
        <f t="shared" ca="1" si="3"/>
        <v>0</v>
      </c>
      <c r="AL25" s="62">
        <f t="shared" ca="1" si="3"/>
        <v>0</v>
      </c>
      <c r="AM25" s="62">
        <f t="shared" ca="1" si="3"/>
        <v>0</v>
      </c>
      <c r="AN25" s="62">
        <f t="shared" ca="1" si="3"/>
        <v>0</v>
      </c>
      <c r="AR25" s="63"/>
    </row>
    <row r="26" spans="1:44" ht="15.75">
      <c r="A26" s="167"/>
      <c r="B26" s="173"/>
      <c r="C26" s="174"/>
      <c r="D26" s="170"/>
      <c r="E26" s="175"/>
      <c r="F26" s="172"/>
      <c r="G26" s="66">
        <f t="shared" ca="1" si="5"/>
        <v>0</v>
      </c>
      <c r="H26" s="62">
        <f t="shared" ca="1" si="4"/>
        <v>0</v>
      </c>
      <c r="I26" s="27"/>
      <c r="J26" s="62">
        <f t="shared" ref="J26:Y41" ca="1" si="7">IF(ABS($E26-J$9)&lt;0.5,$D26,0)</f>
        <v>0</v>
      </c>
      <c r="K26" s="62">
        <f t="shared" ca="1" si="7"/>
        <v>0</v>
      </c>
      <c r="L26" s="62">
        <f t="shared" ca="1" si="7"/>
        <v>0</v>
      </c>
      <c r="M26" s="62">
        <f t="shared" ca="1" si="7"/>
        <v>0</v>
      </c>
      <c r="N26" s="62">
        <f t="shared" ca="1" si="7"/>
        <v>0</v>
      </c>
      <c r="O26" s="62">
        <f t="shared" ca="1" si="7"/>
        <v>0</v>
      </c>
      <c r="P26" s="62">
        <f t="shared" ca="1" si="7"/>
        <v>0</v>
      </c>
      <c r="Q26" s="62">
        <f t="shared" ca="1" si="7"/>
        <v>0</v>
      </c>
      <c r="R26" s="62">
        <f t="shared" ca="1" si="7"/>
        <v>0</v>
      </c>
      <c r="S26" s="62">
        <f t="shared" ca="1" si="7"/>
        <v>0</v>
      </c>
      <c r="T26" s="62">
        <f t="shared" ca="1" si="7"/>
        <v>0</v>
      </c>
      <c r="U26" s="62">
        <f t="shared" ca="1" si="7"/>
        <v>0</v>
      </c>
      <c r="V26" s="62">
        <f t="shared" ca="1" si="7"/>
        <v>0</v>
      </c>
      <c r="W26" s="62">
        <f t="shared" ca="1" si="7"/>
        <v>0</v>
      </c>
      <c r="X26" s="62">
        <f t="shared" ca="1" si="7"/>
        <v>0</v>
      </c>
      <c r="Y26" s="62">
        <f t="shared" ca="1" si="6"/>
        <v>0</v>
      </c>
      <c r="Z26" s="62">
        <f t="shared" ca="1" si="6"/>
        <v>0</v>
      </c>
      <c r="AA26" s="62">
        <f t="shared" ca="1" si="6"/>
        <v>0</v>
      </c>
      <c r="AB26" s="62">
        <f t="shared" ca="1" si="6"/>
        <v>0</v>
      </c>
      <c r="AC26" s="62">
        <f t="shared" ca="1" si="6"/>
        <v>0</v>
      </c>
      <c r="AD26" s="62">
        <f t="shared" ca="1" si="6"/>
        <v>0</v>
      </c>
      <c r="AE26" s="62">
        <f t="shared" ca="1" si="6"/>
        <v>0</v>
      </c>
      <c r="AF26" s="62">
        <f t="shared" ca="1" si="6"/>
        <v>0</v>
      </c>
      <c r="AG26" s="62">
        <f t="shared" ca="1" si="6"/>
        <v>0</v>
      </c>
      <c r="AH26" s="62">
        <f t="shared" ca="1" si="6"/>
        <v>0</v>
      </c>
      <c r="AI26" s="62">
        <f t="shared" ca="1" si="6"/>
        <v>0</v>
      </c>
      <c r="AJ26" s="62">
        <f t="shared" ca="1" si="6"/>
        <v>0</v>
      </c>
      <c r="AK26" s="62">
        <f t="shared" ca="1" si="6"/>
        <v>0</v>
      </c>
      <c r="AL26" s="62">
        <f t="shared" ca="1" si="6"/>
        <v>0</v>
      </c>
      <c r="AM26" s="62">
        <f t="shared" ca="1" si="6"/>
        <v>0</v>
      </c>
      <c r="AN26" s="62">
        <f t="shared" ca="1" si="6"/>
        <v>0</v>
      </c>
      <c r="AR26" s="63"/>
    </row>
    <row r="27" spans="1:44" ht="15.75">
      <c r="A27" s="167"/>
      <c r="B27" s="173"/>
      <c r="C27" s="174"/>
      <c r="D27" s="170"/>
      <c r="E27" s="175"/>
      <c r="F27" s="172"/>
      <c r="G27" s="66">
        <f t="shared" ca="1" si="5"/>
        <v>0</v>
      </c>
      <c r="H27" s="62">
        <f t="shared" ca="1" si="4"/>
        <v>0</v>
      </c>
      <c r="I27" s="27"/>
      <c r="J27" s="62">
        <f t="shared" ca="1" si="7"/>
        <v>0</v>
      </c>
      <c r="K27" s="62">
        <f t="shared" ca="1" si="7"/>
        <v>0</v>
      </c>
      <c r="L27" s="62">
        <f t="shared" ca="1" si="7"/>
        <v>0</v>
      </c>
      <c r="M27" s="62">
        <f t="shared" ca="1" si="7"/>
        <v>0</v>
      </c>
      <c r="N27" s="62">
        <f t="shared" ca="1" si="7"/>
        <v>0</v>
      </c>
      <c r="O27" s="62">
        <f t="shared" ca="1" si="7"/>
        <v>0</v>
      </c>
      <c r="P27" s="62">
        <f t="shared" ca="1" si="7"/>
        <v>0</v>
      </c>
      <c r="Q27" s="62">
        <f t="shared" ca="1" si="7"/>
        <v>0</v>
      </c>
      <c r="R27" s="62">
        <f t="shared" ca="1" si="7"/>
        <v>0</v>
      </c>
      <c r="S27" s="62">
        <f t="shared" ca="1" si="7"/>
        <v>0</v>
      </c>
      <c r="T27" s="62">
        <f t="shared" ca="1" si="7"/>
        <v>0</v>
      </c>
      <c r="U27" s="62">
        <f t="shared" ca="1" si="7"/>
        <v>0</v>
      </c>
      <c r="V27" s="62">
        <f t="shared" ca="1" si="7"/>
        <v>0</v>
      </c>
      <c r="W27" s="62">
        <f t="shared" ca="1" si="7"/>
        <v>0</v>
      </c>
      <c r="X27" s="62">
        <f t="shared" ca="1" si="7"/>
        <v>0</v>
      </c>
      <c r="Y27" s="62">
        <f t="shared" ca="1" si="6"/>
        <v>0</v>
      </c>
      <c r="Z27" s="62">
        <f t="shared" ca="1" si="6"/>
        <v>0</v>
      </c>
      <c r="AA27" s="62">
        <f t="shared" ca="1" si="6"/>
        <v>0</v>
      </c>
      <c r="AB27" s="62">
        <f t="shared" ca="1" si="6"/>
        <v>0</v>
      </c>
      <c r="AC27" s="62">
        <f t="shared" ca="1" si="6"/>
        <v>0</v>
      </c>
      <c r="AD27" s="62">
        <f t="shared" ca="1" si="6"/>
        <v>0</v>
      </c>
      <c r="AE27" s="62">
        <f t="shared" ca="1" si="6"/>
        <v>0</v>
      </c>
      <c r="AF27" s="62">
        <f t="shared" ca="1" si="6"/>
        <v>0</v>
      </c>
      <c r="AG27" s="62">
        <f t="shared" ca="1" si="6"/>
        <v>0</v>
      </c>
      <c r="AH27" s="62">
        <f t="shared" ca="1" si="6"/>
        <v>0</v>
      </c>
      <c r="AI27" s="62">
        <f t="shared" ca="1" si="6"/>
        <v>0</v>
      </c>
      <c r="AJ27" s="62">
        <f t="shared" ca="1" si="6"/>
        <v>0</v>
      </c>
      <c r="AK27" s="62">
        <f t="shared" ca="1" si="6"/>
        <v>0</v>
      </c>
      <c r="AL27" s="62">
        <f t="shared" ca="1" si="6"/>
        <v>0</v>
      </c>
      <c r="AM27" s="62">
        <f t="shared" ca="1" si="6"/>
        <v>0</v>
      </c>
      <c r="AN27" s="62">
        <f t="shared" ca="1" si="6"/>
        <v>0</v>
      </c>
      <c r="AR27" s="63"/>
    </row>
    <row r="28" spans="1:44" ht="15.75">
      <c r="A28" s="167"/>
      <c r="B28" s="173"/>
      <c r="C28" s="174"/>
      <c r="D28" s="170"/>
      <c r="E28" s="175"/>
      <c r="F28" s="172"/>
      <c r="G28" s="66">
        <f t="shared" ca="1" si="5"/>
        <v>0</v>
      </c>
      <c r="H28" s="62">
        <f t="shared" ca="1" si="4"/>
        <v>0</v>
      </c>
      <c r="I28" s="27"/>
      <c r="J28" s="62">
        <f t="shared" ca="1" si="7"/>
        <v>0</v>
      </c>
      <c r="K28" s="62">
        <f t="shared" ca="1" si="7"/>
        <v>0</v>
      </c>
      <c r="L28" s="62">
        <f t="shared" ca="1" si="7"/>
        <v>0</v>
      </c>
      <c r="M28" s="62">
        <f t="shared" ca="1" si="7"/>
        <v>0</v>
      </c>
      <c r="N28" s="62">
        <f t="shared" ca="1" si="7"/>
        <v>0</v>
      </c>
      <c r="O28" s="62">
        <f t="shared" ca="1" si="7"/>
        <v>0</v>
      </c>
      <c r="P28" s="62">
        <f t="shared" ca="1" si="7"/>
        <v>0</v>
      </c>
      <c r="Q28" s="62">
        <f t="shared" ca="1" si="7"/>
        <v>0</v>
      </c>
      <c r="R28" s="62">
        <f t="shared" ca="1" si="7"/>
        <v>0</v>
      </c>
      <c r="S28" s="62">
        <f t="shared" ca="1" si="7"/>
        <v>0</v>
      </c>
      <c r="T28" s="62">
        <f t="shared" ca="1" si="7"/>
        <v>0</v>
      </c>
      <c r="U28" s="62">
        <f t="shared" ca="1" si="7"/>
        <v>0</v>
      </c>
      <c r="V28" s="62">
        <f t="shared" ca="1" si="7"/>
        <v>0</v>
      </c>
      <c r="W28" s="62">
        <f t="shared" ca="1" si="7"/>
        <v>0</v>
      </c>
      <c r="X28" s="62">
        <f t="shared" ca="1" si="7"/>
        <v>0</v>
      </c>
      <c r="Y28" s="62">
        <f t="shared" ca="1" si="6"/>
        <v>0</v>
      </c>
      <c r="Z28" s="62">
        <f t="shared" ca="1" si="6"/>
        <v>0</v>
      </c>
      <c r="AA28" s="62">
        <f t="shared" ca="1" si="6"/>
        <v>0</v>
      </c>
      <c r="AB28" s="62">
        <f t="shared" ca="1" si="6"/>
        <v>0</v>
      </c>
      <c r="AC28" s="62">
        <f t="shared" ca="1" si="6"/>
        <v>0</v>
      </c>
      <c r="AD28" s="62">
        <f t="shared" ca="1" si="6"/>
        <v>0</v>
      </c>
      <c r="AE28" s="62">
        <f t="shared" ca="1" si="6"/>
        <v>0</v>
      </c>
      <c r="AF28" s="62">
        <f t="shared" ca="1" si="6"/>
        <v>0</v>
      </c>
      <c r="AG28" s="62">
        <f t="shared" ca="1" si="6"/>
        <v>0</v>
      </c>
      <c r="AH28" s="62">
        <f t="shared" ca="1" si="6"/>
        <v>0</v>
      </c>
      <c r="AI28" s="62">
        <f t="shared" ca="1" si="6"/>
        <v>0</v>
      </c>
      <c r="AJ28" s="62">
        <f t="shared" ca="1" si="6"/>
        <v>0</v>
      </c>
      <c r="AK28" s="62">
        <f t="shared" ca="1" si="6"/>
        <v>0</v>
      </c>
      <c r="AL28" s="62">
        <f t="shared" ca="1" si="6"/>
        <v>0</v>
      </c>
      <c r="AM28" s="62">
        <f t="shared" ca="1" si="6"/>
        <v>0</v>
      </c>
      <c r="AN28" s="62">
        <f t="shared" ca="1" si="6"/>
        <v>0</v>
      </c>
      <c r="AR28" s="63"/>
    </row>
    <row r="29" spans="1:44" ht="15.75">
      <c r="A29" s="167"/>
      <c r="B29" s="173"/>
      <c r="C29" s="174"/>
      <c r="D29" s="170"/>
      <c r="E29" s="175"/>
      <c r="F29" s="172"/>
      <c r="G29" s="66">
        <f t="shared" ca="1" si="5"/>
        <v>0</v>
      </c>
      <c r="H29" s="62">
        <f t="shared" ca="1" si="4"/>
        <v>0</v>
      </c>
      <c r="I29" s="27"/>
      <c r="J29" s="62">
        <f t="shared" ca="1" si="7"/>
        <v>0</v>
      </c>
      <c r="K29" s="62">
        <f t="shared" ca="1" si="7"/>
        <v>0</v>
      </c>
      <c r="L29" s="62">
        <f t="shared" ca="1" si="7"/>
        <v>0</v>
      </c>
      <c r="M29" s="62">
        <f t="shared" ca="1" si="7"/>
        <v>0</v>
      </c>
      <c r="N29" s="62">
        <f t="shared" ca="1" si="7"/>
        <v>0</v>
      </c>
      <c r="O29" s="62">
        <f t="shared" ca="1" si="7"/>
        <v>0</v>
      </c>
      <c r="P29" s="62">
        <f t="shared" ca="1" si="7"/>
        <v>0</v>
      </c>
      <c r="Q29" s="62">
        <f t="shared" ca="1" si="7"/>
        <v>0</v>
      </c>
      <c r="R29" s="62">
        <f t="shared" ca="1" si="7"/>
        <v>0</v>
      </c>
      <c r="S29" s="62">
        <f t="shared" ca="1" si="7"/>
        <v>0</v>
      </c>
      <c r="T29" s="62">
        <f t="shared" ca="1" si="7"/>
        <v>0</v>
      </c>
      <c r="U29" s="62">
        <f t="shared" ca="1" si="7"/>
        <v>0</v>
      </c>
      <c r="V29" s="62">
        <f t="shared" ca="1" si="7"/>
        <v>0</v>
      </c>
      <c r="W29" s="62">
        <f t="shared" ca="1" si="7"/>
        <v>0</v>
      </c>
      <c r="X29" s="62">
        <f t="shared" ca="1" si="7"/>
        <v>0</v>
      </c>
      <c r="Y29" s="62">
        <f t="shared" ca="1" si="6"/>
        <v>0</v>
      </c>
      <c r="Z29" s="62">
        <f t="shared" ca="1" si="6"/>
        <v>0</v>
      </c>
      <c r="AA29" s="62">
        <f t="shared" ca="1" si="6"/>
        <v>0</v>
      </c>
      <c r="AB29" s="62">
        <f t="shared" ca="1" si="6"/>
        <v>0</v>
      </c>
      <c r="AC29" s="62">
        <f t="shared" ca="1" si="6"/>
        <v>0</v>
      </c>
      <c r="AD29" s="62">
        <f t="shared" ca="1" si="6"/>
        <v>0</v>
      </c>
      <c r="AE29" s="62">
        <f t="shared" ca="1" si="6"/>
        <v>0</v>
      </c>
      <c r="AF29" s="62">
        <f t="shared" ca="1" si="6"/>
        <v>0</v>
      </c>
      <c r="AG29" s="62">
        <f t="shared" ca="1" si="6"/>
        <v>0</v>
      </c>
      <c r="AH29" s="62">
        <f t="shared" ca="1" si="6"/>
        <v>0</v>
      </c>
      <c r="AI29" s="62">
        <f t="shared" ca="1" si="6"/>
        <v>0</v>
      </c>
      <c r="AJ29" s="62">
        <f t="shared" ca="1" si="6"/>
        <v>0</v>
      </c>
      <c r="AK29" s="62">
        <f t="shared" ca="1" si="6"/>
        <v>0</v>
      </c>
      <c r="AL29" s="62">
        <f t="shared" ca="1" si="6"/>
        <v>0</v>
      </c>
      <c r="AM29" s="62">
        <f t="shared" ca="1" si="6"/>
        <v>0</v>
      </c>
      <c r="AN29" s="62">
        <f t="shared" ca="1" si="6"/>
        <v>0</v>
      </c>
      <c r="AR29" s="63"/>
    </row>
    <row r="30" spans="1:44" ht="15.75">
      <c r="A30" s="176"/>
      <c r="B30" s="173"/>
      <c r="C30" s="174"/>
      <c r="D30" s="170"/>
      <c r="E30" s="175"/>
      <c r="F30" s="172"/>
      <c r="G30" s="66">
        <f t="shared" ca="1" si="5"/>
        <v>0</v>
      </c>
      <c r="H30" s="62">
        <f t="shared" ca="1" si="4"/>
        <v>0</v>
      </c>
      <c r="I30" s="27"/>
      <c r="J30" s="62">
        <f t="shared" ca="1" si="7"/>
        <v>0</v>
      </c>
      <c r="K30" s="62">
        <f t="shared" ca="1" si="7"/>
        <v>0</v>
      </c>
      <c r="L30" s="62">
        <f t="shared" ca="1" si="7"/>
        <v>0</v>
      </c>
      <c r="M30" s="62">
        <f t="shared" ca="1" si="7"/>
        <v>0</v>
      </c>
      <c r="N30" s="62">
        <f t="shared" ca="1" si="7"/>
        <v>0</v>
      </c>
      <c r="O30" s="62">
        <f t="shared" ca="1" si="7"/>
        <v>0</v>
      </c>
      <c r="P30" s="62">
        <f t="shared" ca="1" si="7"/>
        <v>0</v>
      </c>
      <c r="Q30" s="62">
        <f t="shared" ca="1" si="7"/>
        <v>0</v>
      </c>
      <c r="R30" s="62">
        <f t="shared" ca="1" si="7"/>
        <v>0</v>
      </c>
      <c r="S30" s="62">
        <f t="shared" ca="1" si="7"/>
        <v>0</v>
      </c>
      <c r="T30" s="62">
        <f t="shared" ca="1" si="7"/>
        <v>0</v>
      </c>
      <c r="U30" s="62">
        <f t="shared" ca="1" si="7"/>
        <v>0</v>
      </c>
      <c r="V30" s="62">
        <f t="shared" ca="1" si="7"/>
        <v>0</v>
      </c>
      <c r="W30" s="62">
        <f t="shared" ca="1" si="7"/>
        <v>0</v>
      </c>
      <c r="X30" s="62">
        <f t="shared" ca="1" si="7"/>
        <v>0</v>
      </c>
      <c r="Y30" s="62">
        <f t="shared" ca="1" si="6"/>
        <v>0</v>
      </c>
      <c r="Z30" s="62">
        <f t="shared" ca="1" si="6"/>
        <v>0</v>
      </c>
      <c r="AA30" s="62">
        <f t="shared" ca="1" si="6"/>
        <v>0</v>
      </c>
      <c r="AB30" s="62">
        <f t="shared" ca="1" si="6"/>
        <v>0</v>
      </c>
      <c r="AC30" s="62">
        <f t="shared" ca="1" si="6"/>
        <v>0</v>
      </c>
      <c r="AD30" s="62">
        <f t="shared" ca="1" si="6"/>
        <v>0</v>
      </c>
      <c r="AE30" s="62">
        <f t="shared" ca="1" si="6"/>
        <v>0</v>
      </c>
      <c r="AF30" s="62">
        <f t="shared" ca="1" si="6"/>
        <v>0</v>
      </c>
      <c r="AG30" s="62">
        <f t="shared" ca="1" si="6"/>
        <v>0</v>
      </c>
      <c r="AH30" s="62">
        <f t="shared" ca="1" si="6"/>
        <v>0</v>
      </c>
      <c r="AI30" s="62">
        <f t="shared" ca="1" si="6"/>
        <v>0</v>
      </c>
      <c r="AJ30" s="62">
        <f t="shared" ca="1" si="6"/>
        <v>0</v>
      </c>
      <c r="AK30" s="62">
        <f t="shared" ca="1" si="6"/>
        <v>0</v>
      </c>
      <c r="AL30" s="62">
        <f t="shared" ca="1" si="6"/>
        <v>0</v>
      </c>
      <c r="AM30" s="62">
        <f t="shared" ca="1" si="6"/>
        <v>0</v>
      </c>
      <c r="AN30" s="62">
        <f t="shared" ca="1" si="6"/>
        <v>0</v>
      </c>
      <c r="AR30" s="63"/>
    </row>
    <row r="31" spans="1:44" ht="15.75">
      <c r="A31" s="167"/>
      <c r="B31" s="173"/>
      <c r="C31" s="174"/>
      <c r="D31" s="170"/>
      <c r="E31" s="175"/>
      <c r="F31" s="172"/>
      <c r="G31" s="66">
        <f t="shared" ca="1" si="5"/>
        <v>0</v>
      </c>
      <c r="H31" s="62">
        <f t="shared" ca="1" si="4"/>
        <v>0</v>
      </c>
      <c r="I31" s="27"/>
      <c r="J31" s="62">
        <f t="shared" ca="1" si="7"/>
        <v>0</v>
      </c>
      <c r="K31" s="62">
        <f t="shared" ca="1" si="7"/>
        <v>0</v>
      </c>
      <c r="L31" s="62">
        <f t="shared" ca="1" si="7"/>
        <v>0</v>
      </c>
      <c r="M31" s="62">
        <f t="shared" ca="1" si="7"/>
        <v>0</v>
      </c>
      <c r="N31" s="62">
        <f t="shared" ca="1" si="7"/>
        <v>0</v>
      </c>
      <c r="O31" s="62">
        <f t="shared" ca="1" si="7"/>
        <v>0</v>
      </c>
      <c r="P31" s="62">
        <f t="shared" ca="1" si="7"/>
        <v>0</v>
      </c>
      <c r="Q31" s="62">
        <f t="shared" ca="1" si="7"/>
        <v>0</v>
      </c>
      <c r="R31" s="62">
        <f t="shared" ca="1" si="7"/>
        <v>0</v>
      </c>
      <c r="S31" s="62">
        <f t="shared" ca="1" si="7"/>
        <v>0</v>
      </c>
      <c r="T31" s="62">
        <f t="shared" ca="1" si="7"/>
        <v>0</v>
      </c>
      <c r="U31" s="62">
        <f t="shared" ca="1" si="7"/>
        <v>0</v>
      </c>
      <c r="V31" s="62">
        <f t="shared" ca="1" si="7"/>
        <v>0</v>
      </c>
      <c r="W31" s="62">
        <f t="shared" ca="1" si="7"/>
        <v>0</v>
      </c>
      <c r="X31" s="62">
        <f t="shared" ca="1" si="7"/>
        <v>0</v>
      </c>
      <c r="Y31" s="62">
        <f t="shared" ca="1" si="6"/>
        <v>0</v>
      </c>
      <c r="Z31" s="62">
        <f t="shared" ca="1" si="6"/>
        <v>0</v>
      </c>
      <c r="AA31" s="62">
        <f t="shared" ca="1" si="6"/>
        <v>0</v>
      </c>
      <c r="AB31" s="62">
        <f t="shared" ca="1" si="6"/>
        <v>0</v>
      </c>
      <c r="AC31" s="62">
        <f t="shared" ca="1" si="6"/>
        <v>0</v>
      </c>
      <c r="AD31" s="62">
        <f t="shared" ca="1" si="6"/>
        <v>0</v>
      </c>
      <c r="AE31" s="62">
        <f t="shared" ca="1" si="6"/>
        <v>0</v>
      </c>
      <c r="AF31" s="62">
        <f t="shared" ca="1" si="6"/>
        <v>0</v>
      </c>
      <c r="AG31" s="62">
        <f t="shared" ca="1" si="6"/>
        <v>0</v>
      </c>
      <c r="AH31" s="62">
        <f t="shared" ca="1" si="6"/>
        <v>0</v>
      </c>
      <c r="AI31" s="62">
        <f t="shared" ca="1" si="6"/>
        <v>0</v>
      </c>
      <c r="AJ31" s="62">
        <f t="shared" ca="1" si="6"/>
        <v>0</v>
      </c>
      <c r="AK31" s="62">
        <f t="shared" ca="1" si="6"/>
        <v>0</v>
      </c>
      <c r="AL31" s="62">
        <f t="shared" ca="1" si="6"/>
        <v>0</v>
      </c>
      <c r="AM31" s="62">
        <f t="shared" ca="1" si="6"/>
        <v>0</v>
      </c>
      <c r="AN31" s="62">
        <f t="shared" ca="1" si="6"/>
        <v>0</v>
      </c>
      <c r="AR31" s="63"/>
    </row>
    <row r="32" spans="1:44" ht="15.75">
      <c r="A32" s="176"/>
      <c r="B32" s="173"/>
      <c r="C32" s="174"/>
      <c r="D32" s="170"/>
      <c r="E32" s="175"/>
      <c r="F32" s="172"/>
      <c r="G32" s="66">
        <f t="shared" ca="1" si="5"/>
        <v>0</v>
      </c>
      <c r="H32" s="62">
        <f t="shared" ca="1" si="4"/>
        <v>0</v>
      </c>
      <c r="I32" s="27"/>
      <c r="J32" s="62">
        <f t="shared" ca="1" si="7"/>
        <v>0</v>
      </c>
      <c r="K32" s="62">
        <f t="shared" ca="1" si="7"/>
        <v>0</v>
      </c>
      <c r="L32" s="62">
        <f t="shared" ca="1" si="7"/>
        <v>0</v>
      </c>
      <c r="M32" s="62">
        <f t="shared" ca="1" si="7"/>
        <v>0</v>
      </c>
      <c r="N32" s="62">
        <f t="shared" ca="1" si="7"/>
        <v>0</v>
      </c>
      <c r="O32" s="62">
        <f t="shared" ca="1" si="7"/>
        <v>0</v>
      </c>
      <c r="P32" s="62">
        <f t="shared" ca="1" si="7"/>
        <v>0</v>
      </c>
      <c r="Q32" s="62">
        <f t="shared" ca="1" si="7"/>
        <v>0</v>
      </c>
      <c r="R32" s="62">
        <f t="shared" ca="1" si="7"/>
        <v>0</v>
      </c>
      <c r="S32" s="62">
        <f t="shared" ca="1" si="7"/>
        <v>0</v>
      </c>
      <c r="T32" s="62">
        <f t="shared" ca="1" si="7"/>
        <v>0</v>
      </c>
      <c r="U32" s="62">
        <f t="shared" ca="1" si="7"/>
        <v>0</v>
      </c>
      <c r="V32" s="62">
        <f t="shared" ca="1" si="7"/>
        <v>0</v>
      </c>
      <c r="W32" s="62">
        <f t="shared" ca="1" si="7"/>
        <v>0</v>
      </c>
      <c r="X32" s="62">
        <f t="shared" ca="1" si="7"/>
        <v>0</v>
      </c>
      <c r="Y32" s="62">
        <f t="shared" ca="1" si="6"/>
        <v>0</v>
      </c>
      <c r="Z32" s="62">
        <f t="shared" ca="1" si="6"/>
        <v>0</v>
      </c>
      <c r="AA32" s="62">
        <f t="shared" ca="1" si="6"/>
        <v>0</v>
      </c>
      <c r="AB32" s="62">
        <f t="shared" ca="1" si="6"/>
        <v>0</v>
      </c>
      <c r="AC32" s="62">
        <f t="shared" ca="1" si="6"/>
        <v>0</v>
      </c>
      <c r="AD32" s="62">
        <f t="shared" ca="1" si="6"/>
        <v>0</v>
      </c>
      <c r="AE32" s="62">
        <f t="shared" ca="1" si="6"/>
        <v>0</v>
      </c>
      <c r="AF32" s="62">
        <f t="shared" ca="1" si="6"/>
        <v>0</v>
      </c>
      <c r="AG32" s="62">
        <f t="shared" ca="1" si="6"/>
        <v>0</v>
      </c>
      <c r="AH32" s="62">
        <f t="shared" ca="1" si="6"/>
        <v>0</v>
      </c>
      <c r="AI32" s="62">
        <f t="shared" ca="1" si="6"/>
        <v>0</v>
      </c>
      <c r="AJ32" s="62">
        <f t="shared" ca="1" si="6"/>
        <v>0</v>
      </c>
      <c r="AK32" s="62">
        <f t="shared" ca="1" si="6"/>
        <v>0</v>
      </c>
      <c r="AL32" s="62">
        <f t="shared" ca="1" si="6"/>
        <v>0</v>
      </c>
      <c r="AM32" s="62">
        <f t="shared" ca="1" si="6"/>
        <v>0</v>
      </c>
      <c r="AN32" s="62">
        <f t="shared" ca="1" si="6"/>
        <v>0</v>
      </c>
      <c r="AR32" s="63"/>
    </row>
    <row r="33" spans="1:44" ht="15.75">
      <c r="A33" s="167"/>
      <c r="B33" s="173"/>
      <c r="C33" s="174"/>
      <c r="D33" s="170"/>
      <c r="E33" s="175"/>
      <c r="F33" s="172"/>
      <c r="G33" s="66">
        <f t="shared" ca="1" si="5"/>
        <v>0</v>
      </c>
      <c r="H33" s="62">
        <f t="shared" ca="1" si="4"/>
        <v>0</v>
      </c>
      <c r="I33" s="27"/>
      <c r="J33" s="62">
        <f t="shared" ca="1" si="7"/>
        <v>0</v>
      </c>
      <c r="K33" s="62">
        <f t="shared" ca="1" si="7"/>
        <v>0</v>
      </c>
      <c r="L33" s="62">
        <f t="shared" ca="1" si="7"/>
        <v>0</v>
      </c>
      <c r="M33" s="62">
        <f t="shared" ca="1" si="7"/>
        <v>0</v>
      </c>
      <c r="N33" s="62">
        <f t="shared" ca="1" si="7"/>
        <v>0</v>
      </c>
      <c r="O33" s="62">
        <f t="shared" ca="1" si="7"/>
        <v>0</v>
      </c>
      <c r="P33" s="62">
        <f t="shared" ca="1" si="7"/>
        <v>0</v>
      </c>
      <c r="Q33" s="62">
        <f t="shared" ca="1" si="7"/>
        <v>0</v>
      </c>
      <c r="R33" s="62">
        <f t="shared" ca="1" si="7"/>
        <v>0</v>
      </c>
      <c r="S33" s="62">
        <f t="shared" ca="1" si="7"/>
        <v>0</v>
      </c>
      <c r="T33" s="62">
        <f t="shared" ca="1" si="7"/>
        <v>0</v>
      </c>
      <c r="U33" s="62">
        <f t="shared" ca="1" si="7"/>
        <v>0</v>
      </c>
      <c r="V33" s="62">
        <f t="shared" ca="1" si="7"/>
        <v>0</v>
      </c>
      <c r="W33" s="62">
        <f t="shared" ca="1" si="7"/>
        <v>0</v>
      </c>
      <c r="X33" s="62">
        <f t="shared" ca="1" si="7"/>
        <v>0</v>
      </c>
      <c r="Y33" s="62">
        <f t="shared" ca="1" si="6"/>
        <v>0</v>
      </c>
      <c r="Z33" s="62">
        <f t="shared" ca="1" si="6"/>
        <v>0</v>
      </c>
      <c r="AA33" s="62">
        <f t="shared" ca="1" si="6"/>
        <v>0</v>
      </c>
      <c r="AB33" s="62">
        <f t="shared" ca="1" si="6"/>
        <v>0</v>
      </c>
      <c r="AC33" s="62">
        <f t="shared" ca="1" si="6"/>
        <v>0</v>
      </c>
      <c r="AD33" s="62">
        <f t="shared" ca="1" si="6"/>
        <v>0</v>
      </c>
      <c r="AE33" s="62">
        <f t="shared" ca="1" si="6"/>
        <v>0</v>
      </c>
      <c r="AF33" s="62">
        <f t="shared" ca="1" si="6"/>
        <v>0</v>
      </c>
      <c r="AG33" s="62">
        <f t="shared" ca="1" si="6"/>
        <v>0</v>
      </c>
      <c r="AH33" s="62">
        <f t="shared" ca="1" si="6"/>
        <v>0</v>
      </c>
      <c r="AI33" s="62">
        <f t="shared" ca="1" si="6"/>
        <v>0</v>
      </c>
      <c r="AJ33" s="62">
        <f t="shared" ca="1" si="6"/>
        <v>0</v>
      </c>
      <c r="AK33" s="62">
        <f t="shared" ca="1" si="6"/>
        <v>0</v>
      </c>
      <c r="AL33" s="62">
        <f t="shared" ca="1" si="6"/>
        <v>0</v>
      </c>
      <c r="AM33" s="62">
        <f t="shared" ca="1" si="6"/>
        <v>0</v>
      </c>
      <c r="AN33" s="62">
        <f t="shared" ca="1" si="6"/>
        <v>0</v>
      </c>
      <c r="AR33" s="63"/>
    </row>
    <row r="34" spans="1:44" ht="15.75">
      <c r="A34" s="167"/>
      <c r="B34" s="173"/>
      <c r="C34" s="174"/>
      <c r="D34" s="170"/>
      <c r="E34" s="175"/>
      <c r="F34" s="172"/>
      <c r="G34" s="66">
        <f t="shared" ca="1" si="5"/>
        <v>0</v>
      </c>
      <c r="H34" s="62">
        <f t="shared" ca="1" si="4"/>
        <v>0</v>
      </c>
      <c r="I34" s="27"/>
      <c r="J34" s="62">
        <f t="shared" ca="1" si="7"/>
        <v>0</v>
      </c>
      <c r="K34" s="62">
        <f t="shared" ca="1" si="7"/>
        <v>0</v>
      </c>
      <c r="L34" s="62">
        <f t="shared" ca="1" si="7"/>
        <v>0</v>
      </c>
      <c r="M34" s="62">
        <f t="shared" ca="1" si="7"/>
        <v>0</v>
      </c>
      <c r="N34" s="62">
        <f t="shared" ca="1" si="7"/>
        <v>0</v>
      </c>
      <c r="O34" s="62">
        <f t="shared" ca="1" si="7"/>
        <v>0</v>
      </c>
      <c r="P34" s="62">
        <f t="shared" ca="1" si="7"/>
        <v>0</v>
      </c>
      <c r="Q34" s="62">
        <f t="shared" ca="1" si="7"/>
        <v>0</v>
      </c>
      <c r="R34" s="62">
        <f t="shared" ca="1" si="7"/>
        <v>0</v>
      </c>
      <c r="S34" s="62">
        <f t="shared" ca="1" si="7"/>
        <v>0</v>
      </c>
      <c r="T34" s="62">
        <f t="shared" ca="1" si="7"/>
        <v>0</v>
      </c>
      <c r="U34" s="62">
        <f t="shared" ca="1" si="7"/>
        <v>0</v>
      </c>
      <c r="V34" s="62">
        <f t="shared" ca="1" si="7"/>
        <v>0</v>
      </c>
      <c r="W34" s="62">
        <f t="shared" ca="1" si="7"/>
        <v>0</v>
      </c>
      <c r="X34" s="62">
        <f t="shared" ca="1" si="7"/>
        <v>0</v>
      </c>
      <c r="Y34" s="62">
        <f t="shared" ca="1" si="6"/>
        <v>0</v>
      </c>
      <c r="Z34" s="62">
        <f t="shared" ca="1" si="6"/>
        <v>0</v>
      </c>
      <c r="AA34" s="62">
        <f t="shared" ca="1" si="6"/>
        <v>0</v>
      </c>
      <c r="AB34" s="62">
        <f t="shared" ca="1" si="6"/>
        <v>0</v>
      </c>
      <c r="AC34" s="62">
        <f t="shared" ca="1" si="6"/>
        <v>0</v>
      </c>
      <c r="AD34" s="62">
        <f t="shared" ca="1" si="6"/>
        <v>0</v>
      </c>
      <c r="AE34" s="62">
        <f t="shared" ca="1" si="6"/>
        <v>0</v>
      </c>
      <c r="AF34" s="62">
        <f t="shared" ca="1" si="6"/>
        <v>0</v>
      </c>
      <c r="AG34" s="62">
        <f t="shared" ca="1" si="6"/>
        <v>0</v>
      </c>
      <c r="AH34" s="62">
        <f t="shared" ca="1" si="6"/>
        <v>0</v>
      </c>
      <c r="AI34" s="62">
        <f t="shared" ca="1" si="6"/>
        <v>0</v>
      </c>
      <c r="AJ34" s="62">
        <f t="shared" ca="1" si="6"/>
        <v>0</v>
      </c>
      <c r="AK34" s="62">
        <f t="shared" ca="1" si="6"/>
        <v>0</v>
      </c>
      <c r="AL34" s="62">
        <f t="shared" ca="1" si="6"/>
        <v>0</v>
      </c>
      <c r="AM34" s="62">
        <f t="shared" ca="1" si="6"/>
        <v>0</v>
      </c>
      <c r="AN34" s="62">
        <f t="shared" ca="1" si="6"/>
        <v>0</v>
      </c>
      <c r="AR34" s="63"/>
    </row>
    <row r="35" spans="1:44" ht="15.75">
      <c r="A35" s="167"/>
      <c r="B35" s="173"/>
      <c r="C35" s="174"/>
      <c r="D35" s="170"/>
      <c r="E35" s="175"/>
      <c r="F35" s="172"/>
      <c r="G35" s="66">
        <f t="shared" ca="1" si="5"/>
        <v>0</v>
      </c>
      <c r="H35" s="62">
        <f t="shared" ca="1" si="4"/>
        <v>0</v>
      </c>
      <c r="I35" s="27"/>
      <c r="J35" s="62">
        <f t="shared" ca="1" si="7"/>
        <v>0</v>
      </c>
      <c r="K35" s="62">
        <f t="shared" ca="1" si="7"/>
        <v>0</v>
      </c>
      <c r="L35" s="62">
        <f t="shared" ca="1" si="7"/>
        <v>0</v>
      </c>
      <c r="M35" s="62">
        <f t="shared" ca="1" si="7"/>
        <v>0</v>
      </c>
      <c r="N35" s="62">
        <f t="shared" ca="1" si="7"/>
        <v>0</v>
      </c>
      <c r="O35" s="62">
        <f t="shared" ca="1" si="7"/>
        <v>0</v>
      </c>
      <c r="P35" s="62">
        <f t="shared" ca="1" si="7"/>
        <v>0</v>
      </c>
      <c r="Q35" s="62">
        <f t="shared" ca="1" si="7"/>
        <v>0</v>
      </c>
      <c r="R35" s="62">
        <f t="shared" ca="1" si="7"/>
        <v>0</v>
      </c>
      <c r="S35" s="62">
        <f t="shared" ca="1" si="7"/>
        <v>0</v>
      </c>
      <c r="T35" s="62">
        <f t="shared" ca="1" si="7"/>
        <v>0</v>
      </c>
      <c r="U35" s="62">
        <f t="shared" ca="1" si="7"/>
        <v>0</v>
      </c>
      <c r="V35" s="62">
        <f t="shared" ca="1" si="7"/>
        <v>0</v>
      </c>
      <c r="W35" s="62">
        <f t="shared" ca="1" si="7"/>
        <v>0</v>
      </c>
      <c r="X35" s="62">
        <f t="shared" ca="1" si="7"/>
        <v>0</v>
      </c>
      <c r="Y35" s="62">
        <f t="shared" ca="1" si="6"/>
        <v>0</v>
      </c>
      <c r="Z35" s="62">
        <f t="shared" ca="1" si="6"/>
        <v>0</v>
      </c>
      <c r="AA35" s="62">
        <f t="shared" ca="1" si="6"/>
        <v>0</v>
      </c>
      <c r="AB35" s="62">
        <f t="shared" ca="1" si="6"/>
        <v>0</v>
      </c>
      <c r="AC35" s="62">
        <f t="shared" ca="1" si="6"/>
        <v>0</v>
      </c>
      <c r="AD35" s="62">
        <f t="shared" ca="1" si="6"/>
        <v>0</v>
      </c>
      <c r="AE35" s="62">
        <f t="shared" ca="1" si="6"/>
        <v>0</v>
      </c>
      <c r="AF35" s="62">
        <f t="shared" ca="1" si="6"/>
        <v>0</v>
      </c>
      <c r="AG35" s="62">
        <f t="shared" ca="1" si="6"/>
        <v>0</v>
      </c>
      <c r="AH35" s="62">
        <f t="shared" ca="1" si="6"/>
        <v>0</v>
      </c>
      <c r="AI35" s="62">
        <f t="shared" ca="1" si="6"/>
        <v>0</v>
      </c>
      <c r="AJ35" s="62">
        <f t="shared" ca="1" si="6"/>
        <v>0</v>
      </c>
      <c r="AK35" s="62">
        <f t="shared" ca="1" si="6"/>
        <v>0</v>
      </c>
      <c r="AL35" s="62">
        <f t="shared" ca="1" si="6"/>
        <v>0</v>
      </c>
      <c r="AM35" s="62">
        <f t="shared" ca="1" si="6"/>
        <v>0</v>
      </c>
      <c r="AN35" s="62">
        <f t="shared" ca="1" si="6"/>
        <v>0</v>
      </c>
      <c r="AR35" s="63"/>
    </row>
    <row r="36" spans="1:44" ht="15.75">
      <c r="A36" s="167"/>
      <c r="B36" s="173"/>
      <c r="C36" s="174"/>
      <c r="D36" s="170"/>
      <c r="E36" s="175"/>
      <c r="F36" s="172"/>
      <c r="G36" s="66">
        <f t="shared" ca="1" si="5"/>
        <v>0</v>
      </c>
      <c r="H36" s="62">
        <f t="shared" ca="1" si="4"/>
        <v>0</v>
      </c>
      <c r="I36" s="27"/>
      <c r="J36" s="62">
        <f t="shared" ca="1" si="7"/>
        <v>0</v>
      </c>
      <c r="K36" s="62">
        <f t="shared" ca="1" si="7"/>
        <v>0</v>
      </c>
      <c r="L36" s="62">
        <f t="shared" ca="1" si="7"/>
        <v>0</v>
      </c>
      <c r="M36" s="62">
        <f t="shared" ca="1" si="7"/>
        <v>0</v>
      </c>
      <c r="N36" s="62">
        <f t="shared" ca="1" si="7"/>
        <v>0</v>
      </c>
      <c r="O36" s="62">
        <f t="shared" ca="1" si="7"/>
        <v>0</v>
      </c>
      <c r="P36" s="62">
        <f t="shared" ca="1" si="7"/>
        <v>0</v>
      </c>
      <c r="Q36" s="62">
        <f t="shared" ca="1" si="7"/>
        <v>0</v>
      </c>
      <c r="R36" s="62">
        <f t="shared" ca="1" si="7"/>
        <v>0</v>
      </c>
      <c r="S36" s="62">
        <f t="shared" ca="1" si="7"/>
        <v>0</v>
      </c>
      <c r="T36" s="62">
        <f t="shared" ca="1" si="7"/>
        <v>0</v>
      </c>
      <c r="U36" s="62">
        <f t="shared" ca="1" si="7"/>
        <v>0</v>
      </c>
      <c r="V36" s="62">
        <f t="shared" ca="1" si="7"/>
        <v>0</v>
      </c>
      <c r="W36" s="62">
        <f t="shared" ca="1" si="7"/>
        <v>0</v>
      </c>
      <c r="X36" s="62">
        <f t="shared" ca="1" si="7"/>
        <v>0</v>
      </c>
      <c r="Y36" s="62">
        <f t="shared" ca="1" si="6"/>
        <v>0</v>
      </c>
      <c r="Z36" s="62">
        <f t="shared" ca="1" si="6"/>
        <v>0</v>
      </c>
      <c r="AA36" s="62">
        <f t="shared" ca="1" si="6"/>
        <v>0</v>
      </c>
      <c r="AB36" s="62">
        <f t="shared" ca="1" si="6"/>
        <v>0</v>
      </c>
      <c r="AC36" s="62">
        <f t="shared" ca="1" si="6"/>
        <v>0</v>
      </c>
      <c r="AD36" s="62">
        <f t="shared" ca="1" si="6"/>
        <v>0</v>
      </c>
      <c r="AE36" s="62">
        <f t="shared" ca="1" si="6"/>
        <v>0</v>
      </c>
      <c r="AF36" s="62">
        <f t="shared" ca="1" si="6"/>
        <v>0</v>
      </c>
      <c r="AG36" s="62">
        <f t="shared" ca="1" si="6"/>
        <v>0</v>
      </c>
      <c r="AH36" s="62">
        <f t="shared" ca="1" si="6"/>
        <v>0</v>
      </c>
      <c r="AI36" s="62">
        <f t="shared" ca="1" si="6"/>
        <v>0</v>
      </c>
      <c r="AJ36" s="62">
        <f t="shared" ca="1" si="6"/>
        <v>0</v>
      </c>
      <c r="AK36" s="62">
        <f t="shared" ca="1" si="6"/>
        <v>0</v>
      </c>
      <c r="AL36" s="62">
        <f t="shared" ca="1" si="6"/>
        <v>0</v>
      </c>
      <c r="AM36" s="62">
        <f t="shared" ca="1" si="6"/>
        <v>0</v>
      </c>
      <c r="AN36" s="62">
        <f t="shared" ca="1" si="6"/>
        <v>0</v>
      </c>
      <c r="AR36" s="63"/>
    </row>
    <row r="37" spans="1:44" ht="15.75">
      <c r="A37" s="176"/>
      <c r="B37" s="173"/>
      <c r="C37" s="174"/>
      <c r="D37" s="170"/>
      <c r="E37" s="175"/>
      <c r="F37" s="172"/>
      <c r="G37" s="66">
        <f t="shared" ca="1" si="5"/>
        <v>0</v>
      </c>
      <c r="H37" s="62">
        <f t="shared" ca="1" si="4"/>
        <v>0</v>
      </c>
      <c r="I37" s="27"/>
      <c r="J37" s="62">
        <f t="shared" ca="1" si="7"/>
        <v>0</v>
      </c>
      <c r="K37" s="62">
        <f t="shared" ca="1" si="7"/>
        <v>0</v>
      </c>
      <c r="L37" s="62">
        <f t="shared" ca="1" si="7"/>
        <v>0</v>
      </c>
      <c r="M37" s="62">
        <f t="shared" ca="1" si="7"/>
        <v>0</v>
      </c>
      <c r="N37" s="62">
        <f t="shared" ca="1" si="7"/>
        <v>0</v>
      </c>
      <c r="O37" s="62">
        <f t="shared" ca="1" si="7"/>
        <v>0</v>
      </c>
      <c r="P37" s="62">
        <f t="shared" ca="1" si="7"/>
        <v>0</v>
      </c>
      <c r="Q37" s="62">
        <f t="shared" ca="1" si="7"/>
        <v>0</v>
      </c>
      <c r="R37" s="62">
        <f t="shared" ca="1" si="7"/>
        <v>0</v>
      </c>
      <c r="S37" s="62">
        <f t="shared" ca="1" si="7"/>
        <v>0</v>
      </c>
      <c r="T37" s="62">
        <f t="shared" ca="1" si="7"/>
        <v>0</v>
      </c>
      <c r="U37" s="62">
        <f t="shared" ca="1" si="7"/>
        <v>0</v>
      </c>
      <c r="V37" s="62">
        <f t="shared" ca="1" si="7"/>
        <v>0</v>
      </c>
      <c r="W37" s="62">
        <f t="shared" ca="1" si="7"/>
        <v>0</v>
      </c>
      <c r="X37" s="62">
        <f t="shared" ca="1" si="7"/>
        <v>0</v>
      </c>
      <c r="Y37" s="62">
        <f t="shared" ca="1" si="6"/>
        <v>0</v>
      </c>
      <c r="Z37" s="62">
        <f t="shared" ca="1" si="6"/>
        <v>0</v>
      </c>
      <c r="AA37" s="62">
        <f t="shared" ca="1" si="6"/>
        <v>0</v>
      </c>
      <c r="AB37" s="62">
        <f t="shared" ca="1" si="6"/>
        <v>0</v>
      </c>
      <c r="AC37" s="62">
        <f t="shared" ca="1" si="6"/>
        <v>0</v>
      </c>
      <c r="AD37" s="62">
        <f t="shared" ca="1" si="6"/>
        <v>0</v>
      </c>
      <c r="AE37" s="62">
        <f t="shared" ca="1" si="6"/>
        <v>0</v>
      </c>
      <c r="AF37" s="62">
        <f t="shared" ca="1" si="6"/>
        <v>0</v>
      </c>
      <c r="AG37" s="62">
        <f t="shared" ca="1" si="6"/>
        <v>0</v>
      </c>
      <c r="AH37" s="62">
        <f t="shared" ca="1" si="6"/>
        <v>0</v>
      </c>
      <c r="AI37" s="62">
        <f t="shared" ca="1" si="6"/>
        <v>0</v>
      </c>
      <c r="AJ37" s="62">
        <f t="shared" ca="1" si="6"/>
        <v>0</v>
      </c>
      <c r="AK37" s="62">
        <f t="shared" ca="1" si="6"/>
        <v>0</v>
      </c>
      <c r="AL37" s="62">
        <f t="shared" ca="1" si="6"/>
        <v>0</v>
      </c>
      <c r="AM37" s="62">
        <f t="shared" ca="1" si="6"/>
        <v>0</v>
      </c>
      <c r="AN37" s="62">
        <f t="shared" ca="1" si="6"/>
        <v>0</v>
      </c>
      <c r="AR37" s="63"/>
    </row>
    <row r="38" spans="1:44" ht="15.75">
      <c r="A38" s="176"/>
      <c r="B38" s="173"/>
      <c r="C38" s="174"/>
      <c r="D38" s="170"/>
      <c r="E38" s="175"/>
      <c r="F38" s="172"/>
      <c r="G38" s="66">
        <f t="shared" ca="1" si="5"/>
        <v>0</v>
      </c>
      <c r="H38" s="62">
        <f t="shared" ca="1" si="4"/>
        <v>0</v>
      </c>
      <c r="I38" s="27"/>
      <c r="J38" s="62">
        <f t="shared" ca="1" si="7"/>
        <v>0</v>
      </c>
      <c r="K38" s="62">
        <f t="shared" ca="1" si="7"/>
        <v>0</v>
      </c>
      <c r="L38" s="62">
        <f t="shared" ca="1" si="7"/>
        <v>0</v>
      </c>
      <c r="M38" s="62">
        <f t="shared" ca="1" si="7"/>
        <v>0</v>
      </c>
      <c r="N38" s="62">
        <f t="shared" ca="1" si="7"/>
        <v>0</v>
      </c>
      <c r="O38" s="62">
        <f t="shared" ca="1" si="7"/>
        <v>0</v>
      </c>
      <c r="P38" s="62">
        <f t="shared" ca="1" si="7"/>
        <v>0</v>
      </c>
      <c r="Q38" s="62">
        <f t="shared" ca="1" si="7"/>
        <v>0</v>
      </c>
      <c r="R38" s="62">
        <f t="shared" ca="1" si="7"/>
        <v>0</v>
      </c>
      <c r="S38" s="62">
        <f t="shared" ca="1" si="7"/>
        <v>0</v>
      </c>
      <c r="T38" s="62">
        <f t="shared" ca="1" si="7"/>
        <v>0</v>
      </c>
      <c r="U38" s="62">
        <f t="shared" ca="1" si="7"/>
        <v>0</v>
      </c>
      <c r="V38" s="62">
        <f t="shared" ca="1" si="7"/>
        <v>0</v>
      </c>
      <c r="W38" s="62">
        <f t="shared" ca="1" si="7"/>
        <v>0</v>
      </c>
      <c r="X38" s="62">
        <f t="shared" ca="1" si="7"/>
        <v>0</v>
      </c>
      <c r="Y38" s="62">
        <f t="shared" ca="1" si="6"/>
        <v>0</v>
      </c>
      <c r="Z38" s="62">
        <f t="shared" ca="1" si="6"/>
        <v>0</v>
      </c>
      <c r="AA38" s="62">
        <f t="shared" ca="1" si="6"/>
        <v>0</v>
      </c>
      <c r="AB38" s="62">
        <f t="shared" ca="1" si="6"/>
        <v>0</v>
      </c>
      <c r="AC38" s="62">
        <f t="shared" ca="1" si="6"/>
        <v>0</v>
      </c>
      <c r="AD38" s="62">
        <f t="shared" ca="1" si="6"/>
        <v>0</v>
      </c>
      <c r="AE38" s="62">
        <f t="shared" ca="1" si="6"/>
        <v>0</v>
      </c>
      <c r="AF38" s="62">
        <f t="shared" ca="1" si="6"/>
        <v>0</v>
      </c>
      <c r="AG38" s="62">
        <f t="shared" ca="1" si="6"/>
        <v>0</v>
      </c>
      <c r="AH38" s="62">
        <f t="shared" ca="1" si="6"/>
        <v>0</v>
      </c>
      <c r="AI38" s="62">
        <f t="shared" ca="1" si="6"/>
        <v>0</v>
      </c>
      <c r="AJ38" s="62">
        <f t="shared" ca="1" si="6"/>
        <v>0</v>
      </c>
      <c r="AK38" s="62">
        <f t="shared" ca="1" si="6"/>
        <v>0</v>
      </c>
      <c r="AL38" s="62">
        <f t="shared" ca="1" si="6"/>
        <v>0</v>
      </c>
      <c r="AM38" s="62">
        <f t="shared" ca="1" si="6"/>
        <v>0</v>
      </c>
      <c r="AN38" s="62">
        <f t="shared" ca="1" si="6"/>
        <v>0</v>
      </c>
      <c r="AR38" s="63"/>
    </row>
    <row r="39" spans="1:44" ht="15.75">
      <c r="A39" s="167"/>
      <c r="B39" s="173"/>
      <c r="C39" s="174"/>
      <c r="D39" s="170"/>
      <c r="E39" s="175"/>
      <c r="F39" s="172"/>
      <c r="G39" s="66">
        <f t="shared" ca="1" si="5"/>
        <v>0</v>
      </c>
      <c r="H39" s="62">
        <f t="shared" ca="1" si="4"/>
        <v>0</v>
      </c>
      <c r="I39" s="27"/>
      <c r="J39" s="62">
        <f t="shared" ca="1" si="7"/>
        <v>0</v>
      </c>
      <c r="K39" s="62">
        <f t="shared" ca="1" si="7"/>
        <v>0</v>
      </c>
      <c r="L39" s="62">
        <f t="shared" ca="1" si="7"/>
        <v>0</v>
      </c>
      <c r="M39" s="62">
        <f t="shared" ca="1" si="7"/>
        <v>0</v>
      </c>
      <c r="N39" s="62">
        <f t="shared" ca="1" si="7"/>
        <v>0</v>
      </c>
      <c r="O39" s="62">
        <f t="shared" ca="1" si="7"/>
        <v>0</v>
      </c>
      <c r="P39" s="62">
        <f t="shared" ca="1" si="7"/>
        <v>0</v>
      </c>
      <c r="Q39" s="62">
        <f t="shared" ca="1" si="7"/>
        <v>0</v>
      </c>
      <c r="R39" s="62">
        <f t="shared" ca="1" si="7"/>
        <v>0</v>
      </c>
      <c r="S39" s="62">
        <f t="shared" ca="1" si="7"/>
        <v>0</v>
      </c>
      <c r="T39" s="62">
        <f t="shared" ca="1" si="7"/>
        <v>0</v>
      </c>
      <c r="U39" s="62">
        <f t="shared" ca="1" si="7"/>
        <v>0</v>
      </c>
      <c r="V39" s="62">
        <f t="shared" ca="1" si="7"/>
        <v>0</v>
      </c>
      <c r="W39" s="62">
        <f t="shared" ca="1" si="7"/>
        <v>0</v>
      </c>
      <c r="X39" s="62">
        <f t="shared" ca="1" si="7"/>
        <v>0</v>
      </c>
      <c r="Y39" s="62">
        <f t="shared" ca="1" si="6"/>
        <v>0</v>
      </c>
      <c r="Z39" s="62">
        <f t="shared" ca="1" si="6"/>
        <v>0</v>
      </c>
      <c r="AA39" s="62">
        <f t="shared" ca="1" si="6"/>
        <v>0</v>
      </c>
      <c r="AB39" s="62">
        <f t="shared" ca="1" si="6"/>
        <v>0</v>
      </c>
      <c r="AC39" s="62">
        <f t="shared" ca="1" si="6"/>
        <v>0</v>
      </c>
      <c r="AD39" s="62">
        <f t="shared" ca="1" si="6"/>
        <v>0</v>
      </c>
      <c r="AE39" s="62">
        <f t="shared" ca="1" si="6"/>
        <v>0</v>
      </c>
      <c r="AF39" s="62">
        <f t="shared" ca="1" si="6"/>
        <v>0</v>
      </c>
      <c r="AG39" s="62">
        <f t="shared" ca="1" si="6"/>
        <v>0</v>
      </c>
      <c r="AH39" s="62">
        <f t="shared" ca="1" si="6"/>
        <v>0</v>
      </c>
      <c r="AI39" s="62">
        <f t="shared" ca="1" si="6"/>
        <v>0</v>
      </c>
      <c r="AJ39" s="62">
        <f t="shared" ca="1" si="6"/>
        <v>0</v>
      </c>
      <c r="AK39" s="62">
        <f t="shared" ca="1" si="6"/>
        <v>0</v>
      </c>
      <c r="AL39" s="62">
        <f t="shared" ca="1" si="6"/>
        <v>0</v>
      </c>
      <c r="AM39" s="62">
        <f t="shared" ca="1" si="6"/>
        <v>0</v>
      </c>
      <c r="AN39" s="62">
        <f t="shared" ca="1" si="6"/>
        <v>0</v>
      </c>
      <c r="AR39" s="63"/>
    </row>
    <row r="40" spans="1:44" ht="15.75">
      <c r="A40" s="167"/>
      <c r="B40" s="173"/>
      <c r="C40" s="174"/>
      <c r="D40" s="170"/>
      <c r="E40" s="175"/>
      <c r="F40" s="172"/>
      <c r="G40" s="66">
        <f t="shared" ca="1" si="5"/>
        <v>0</v>
      </c>
      <c r="H40" s="62">
        <f t="shared" ca="1" si="4"/>
        <v>0</v>
      </c>
      <c r="I40" s="27"/>
      <c r="J40" s="62">
        <f t="shared" ca="1" si="7"/>
        <v>0</v>
      </c>
      <c r="K40" s="62">
        <f t="shared" ca="1" si="7"/>
        <v>0</v>
      </c>
      <c r="L40" s="62">
        <f t="shared" ca="1" si="7"/>
        <v>0</v>
      </c>
      <c r="M40" s="62">
        <f t="shared" ca="1" si="7"/>
        <v>0</v>
      </c>
      <c r="N40" s="62">
        <f t="shared" ca="1" si="7"/>
        <v>0</v>
      </c>
      <c r="O40" s="62">
        <f t="shared" ca="1" si="7"/>
        <v>0</v>
      </c>
      <c r="P40" s="62">
        <f t="shared" ca="1" si="7"/>
        <v>0</v>
      </c>
      <c r="Q40" s="62">
        <f t="shared" ca="1" si="7"/>
        <v>0</v>
      </c>
      <c r="R40" s="62">
        <f t="shared" ca="1" si="7"/>
        <v>0</v>
      </c>
      <c r="S40" s="62">
        <f t="shared" ca="1" si="7"/>
        <v>0</v>
      </c>
      <c r="T40" s="62">
        <f t="shared" ca="1" si="7"/>
        <v>0</v>
      </c>
      <c r="U40" s="62">
        <f t="shared" ca="1" si="7"/>
        <v>0</v>
      </c>
      <c r="V40" s="62">
        <f t="shared" ca="1" si="7"/>
        <v>0</v>
      </c>
      <c r="W40" s="62">
        <f t="shared" ca="1" si="7"/>
        <v>0</v>
      </c>
      <c r="X40" s="62">
        <f t="shared" ca="1" si="7"/>
        <v>0</v>
      </c>
      <c r="Y40" s="62">
        <f t="shared" ca="1" si="6"/>
        <v>0</v>
      </c>
      <c r="Z40" s="62">
        <f t="shared" ca="1" si="6"/>
        <v>0</v>
      </c>
      <c r="AA40" s="62">
        <f t="shared" ca="1" si="6"/>
        <v>0</v>
      </c>
      <c r="AB40" s="62">
        <f t="shared" ca="1" si="6"/>
        <v>0</v>
      </c>
      <c r="AC40" s="62">
        <f t="shared" ca="1" si="6"/>
        <v>0</v>
      </c>
      <c r="AD40" s="62">
        <f t="shared" ca="1" si="6"/>
        <v>0</v>
      </c>
      <c r="AE40" s="62">
        <f t="shared" ca="1" si="6"/>
        <v>0</v>
      </c>
      <c r="AF40" s="62">
        <f t="shared" ca="1" si="6"/>
        <v>0</v>
      </c>
      <c r="AG40" s="62">
        <f t="shared" ca="1" si="6"/>
        <v>0</v>
      </c>
      <c r="AH40" s="62">
        <f t="shared" ca="1" si="6"/>
        <v>0</v>
      </c>
      <c r="AI40" s="62">
        <f t="shared" ca="1" si="6"/>
        <v>0</v>
      </c>
      <c r="AJ40" s="62">
        <f t="shared" ca="1" si="6"/>
        <v>0</v>
      </c>
      <c r="AK40" s="62">
        <f t="shared" ca="1" si="6"/>
        <v>0</v>
      </c>
      <c r="AL40" s="62">
        <f t="shared" ca="1" si="6"/>
        <v>0</v>
      </c>
      <c r="AM40" s="62">
        <f t="shared" ca="1" si="6"/>
        <v>0</v>
      </c>
      <c r="AN40" s="62">
        <f t="shared" ca="1" si="6"/>
        <v>0</v>
      </c>
      <c r="AR40" s="63"/>
    </row>
    <row r="41" spans="1:44" ht="15.75">
      <c r="A41" s="167"/>
      <c r="B41" s="173"/>
      <c r="C41" s="174"/>
      <c r="D41" s="170"/>
      <c r="E41" s="175"/>
      <c r="F41" s="172"/>
      <c r="G41" s="66">
        <f t="shared" ca="1" si="5"/>
        <v>0</v>
      </c>
      <c r="H41" s="62">
        <f t="shared" ca="1" si="4"/>
        <v>0</v>
      </c>
      <c r="I41" s="27"/>
      <c r="J41" s="62">
        <f t="shared" ca="1" si="7"/>
        <v>0</v>
      </c>
      <c r="K41" s="62">
        <f t="shared" ca="1" si="7"/>
        <v>0</v>
      </c>
      <c r="L41" s="62">
        <f t="shared" ca="1" si="7"/>
        <v>0</v>
      </c>
      <c r="M41" s="62">
        <f t="shared" ca="1" si="7"/>
        <v>0</v>
      </c>
      <c r="N41" s="62">
        <f t="shared" ca="1" si="7"/>
        <v>0</v>
      </c>
      <c r="O41" s="62">
        <f t="shared" ca="1" si="7"/>
        <v>0</v>
      </c>
      <c r="P41" s="62">
        <f t="shared" ca="1" si="7"/>
        <v>0</v>
      </c>
      <c r="Q41" s="62">
        <f t="shared" ca="1" si="7"/>
        <v>0</v>
      </c>
      <c r="R41" s="62">
        <f t="shared" ca="1" si="7"/>
        <v>0</v>
      </c>
      <c r="S41" s="62">
        <f t="shared" ca="1" si="7"/>
        <v>0</v>
      </c>
      <c r="T41" s="62">
        <f t="shared" ca="1" si="7"/>
        <v>0</v>
      </c>
      <c r="U41" s="62">
        <f t="shared" ca="1" si="7"/>
        <v>0</v>
      </c>
      <c r="V41" s="62">
        <f t="shared" ca="1" si="7"/>
        <v>0</v>
      </c>
      <c r="W41" s="62">
        <f t="shared" ca="1" si="7"/>
        <v>0</v>
      </c>
      <c r="X41" s="62">
        <f t="shared" ca="1" si="7"/>
        <v>0</v>
      </c>
      <c r="Y41" s="62">
        <f t="shared" ca="1" si="7"/>
        <v>0</v>
      </c>
      <c r="Z41" s="62">
        <f t="shared" ref="Z41:AN56" ca="1" si="8">IF(ABS($E41-Z$9)&lt;0.5,$D41,0)</f>
        <v>0</v>
      </c>
      <c r="AA41" s="62">
        <f t="shared" ca="1" si="8"/>
        <v>0</v>
      </c>
      <c r="AB41" s="62">
        <f t="shared" ca="1" si="8"/>
        <v>0</v>
      </c>
      <c r="AC41" s="62">
        <f t="shared" ca="1" si="8"/>
        <v>0</v>
      </c>
      <c r="AD41" s="62">
        <f t="shared" ca="1" si="8"/>
        <v>0</v>
      </c>
      <c r="AE41" s="62">
        <f t="shared" ca="1" si="8"/>
        <v>0</v>
      </c>
      <c r="AF41" s="62">
        <f t="shared" ca="1" si="8"/>
        <v>0</v>
      </c>
      <c r="AG41" s="62">
        <f t="shared" ca="1" si="8"/>
        <v>0</v>
      </c>
      <c r="AH41" s="62">
        <f t="shared" ca="1" si="8"/>
        <v>0</v>
      </c>
      <c r="AI41" s="62">
        <f t="shared" ca="1" si="8"/>
        <v>0</v>
      </c>
      <c r="AJ41" s="62">
        <f t="shared" ca="1" si="8"/>
        <v>0</v>
      </c>
      <c r="AK41" s="62">
        <f t="shared" ca="1" si="8"/>
        <v>0</v>
      </c>
      <c r="AL41" s="62">
        <f t="shared" ca="1" si="8"/>
        <v>0</v>
      </c>
      <c r="AM41" s="62">
        <f t="shared" ca="1" si="8"/>
        <v>0</v>
      </c>
      <c r="AN41" s="62">
        <f t="shared" ca="1" si="8"/>
        <v>0</v>
      </c>
      <c r="AR41" s="63"/>
    </row>
    <row r="42" spans="1:44" ht="15.75">
      <c r="A42" s="176"/>
      <c r="B42" s="173"/>
      <c r="C42" s="174"/>
      <c r="D42" s="170"/>
      <c r="E42" s="175"/>
      <c r="F42" s="172"/>
      <c r="G42" s="66">
        <f t="shared" ca="1" si="5"/>
        <v>0</v>
      </c>
      <c r="H42" s="62">
        <f t="shared" ca="1" si="4"/>
        <v>0</v>
      </c>
      <c r="I42" s="27"/>
      <c r="J42" s="62">
        <f t="shared" ref="J42:Y57" ca="1" si="9">IF(ABS($E42-J$9)&lt;0.5,$D42,0)</f>
        <v>0</v>
      </c>
      <c r="K42" s="62">
        <f t="shared" ca="1" si="9"/>
        <v>0</v>
      </c>
      <c r="L42" s="62">
        <f t="shared" ca="1" si="9"/>
        <v>0</v>
      </c>
      <c r="M42" s="62">
        <f t="shared" ca="1" si="9"/>
        <v>0</v>
      </c>
      <c r="N42" s="62">
        <f t="shared" ca="1" si="9"/>
        <v>0</v>
      </c>
      <c r="O42" s="62">
        <f t="shared" ca="1" si="9"/>
        <v>0</v>
      </c>
      <c r="P42" s="62">
        <f t="shared" ca="1" si="9"/>
        <v>0</v>
      </c>
      <c r="Q42" s="62">
        <f t="shared" ca="1" si="9"/>
        <v>0</v>
      </c>
      <c r="R42" s="62">
        <f t="shared" ca="1" si="9"/>
        <v>0</v>
      </c>
      <c r="S42" s="62">
        <f t="shared" ca="1" si="9"/>
        <v>0</v>
      </c>
      <c r="T42" s="62">
        <f t="shared" ca="1" si="9"/>
        <v>0</v>
      </c>
      <c r="U42" s="62">
        <f t="shared" ca="1" si="9"/>
        <v>0</v>
      </c>
      <c r="V42" s="62">
        <f t="shared" ca="1" si="9"/>
        <v>0</v>
      </c>
      <c r="W42" s="62">
        <f t="shared" ca="1" si="9"/>
        <v>0</v>
      </c>
      <c r="X42" s="62">
        <f t="shared" ca="1" si="9"/>
        <v>0</v>
      </c>
      <c r="Y42" s="62">
        <f t="shared" ca="1" si="9"/>
        <v>0</v>
      </c>
      <c r="Z42" s="62">
        <f t="shared" ca="1" si="8"/>
        <v>0</v>
      </c>
      <c r="AA42" s="62">
        <f t="shared" ca="1" si="8"/>
        <v>0</v>
      </c>
      <c r="AB42" s="62">
        <f t="shared" ca="1" si="8"/>
        <v>0</v>
      </c>
      <c r="AC42" s="62">
        <f t="shared" ca="1" si="8"/>
        <v>0</v>
      </c>
      <c r="AD42" s="62">
        <f t="shared" ca="1" si="8"/>
        <v>0</v>
      </c>
      <c r="AE42" s="62">
        <f t="shared" ca="1" si="8"/>
        <v>0</v>
      </c>
      <c r="AF42" s="62">
        <f t="shared" ca="1" si="8"/>
        <v>0</v>
      </c>
      <c r="AG42" s="62">
        <f t="shared" ca="1" si="8"/>
        <v>0</v>
      </c>
      <c r="AH42" s="62">
        <f t="shared" ca="1" si="8"/>
        <v>0</v>
      </c>
      <c r="AI42" s="62">
        <f t="shared" ca="1" si="8"/>
        <v>0</v>
      </c>
      <c r="AJ42" s="62">
        <f t="shared" ca="1" si="8"/>
        <v>0</v>
      </c>
      <c r="AK42" s="62">
        <f t="shared" ca="1" si="8"/>
        <v>0</v>
      </c>
      <c r="AL42" s="62">
        <f t="shared" ca="1" si="8"/>
        <v>0</v>
      </c>
      <c r="AM42" s="62">
        <f t="shared" ca="1" si="8"/>
        <v>0</v>
      </c>
      <c r="AN42" s="62">
        <f t="shared" ca="1" si="8"/>
        <v>0</v>
      </c>
      <c r="AR42" s="63"/>
    </row>
    <row r="43" spans="1:44" ht="15.75">
      <c r="A43" s="176"/>
      <c r="B43" s="173"/>
      <c r="C43" s="174"/>
      <c r="D43" s="170"/>
      <c r="E43" s="175"/>
      <c r="F43" s="172"/>
      <c r="G43" s="66">
        <f t="shared" ca="1" si="5"/>
        <v>0</v>
      </c>
      <c r="H43" s="62">
        <f t="shared" ca="1" si="4"/>
        <v>0</v>
      </c>
      <c r="I43" s="27"/>
      <c r="J43" s="62">
        <f t="shared" ca="1" si="9"/>
        <v>0</v>
      </c>
      <c r="K43" s="62">
        <f t="shared" ca="1" si="9"/>
        <v>0</v>
      </c>
      <c r="L43" s="62">
        <f t="shared" ca="1" si="9"/>
        <v>0</v>
      </c>
      <c r="M43" s="62">
        <f t="shared" ca="1" si="9"/>
        <v>0</v>
      </c>
      <c r="N43" s="62">
        <f t="shared" ca="1" si="9"/>
        <v>0</v>
      </c>
      <c r="O43" s="62">
        <f t="shared" ca="1" si="9"/>
        <v>0</v>
      </c>
      <c r="P43" s="62">
        <f t="shared" ca="1" si="9"/>
        <v>0</v>
      </c>
      <c r="Q43" s="62">
        <f t="shared" ca="1" si="9"/>
        <v>0</v>
      </c>
      <c r="R43" s="62">
        <f t="shared" ca="1" si="9"/>
        <v>0</v>
      </c>
      <c r="S43" s="62">
        <f t="shared" ca="1" si="9"/>
        <v>0</v>
      </c>
      <c r="T43" s="62">
        <f t="shared" ca="1" si="9"/>
        <v>0</v>
      </c>
      <c r="U43" s="62">
        <f t="shared" ca="1" si="9"/>
        <v>0</v>
      </c>
      <c r="V43" s="62">
        <f t="shared" ca="1" si="9"/>
        <v>0</v>
      </c>
      <c r="W43" s="62">
        <f t="shared" ca="1" si="9"/>
        <v>0</v>
      </c>
      <c r="X43" s="62">
        <f t="shared" ca="1" si="9"/>
        <v>0</v>
      </c>
      <c r="Y43" s="62">
        <f t="shared" ca="1" si="9"/>
        <v>0</v>
      </c>
      <c r="Z43" s="62">
        <f t="shared" ca="1" si="8"/>
        <v>0</v>
      </c>
      <c r="AA43" s="62">
        <f t="shared" ca="1" si="8"/>
        <v>0</v>
      </c>
      <c r="AB43" s="62">
        <f t="shared" ca="1" si="8"/>
        <v>0</v>
      </c>
      <c r="AC43" s="62">
        <f t="shared" ca="1" si="8"/>
        <v>0</v>
      </c>
      <c r="AD43" s="62">
        <f t="shared" ca="1" si="8"/>
        <v>0</v>
      </c>
      <c r="AE43" s="62">
        <f t="shared" ca="1" si="8"/>
        <v>0</v>
      </c>
      <c r="AF43" s="62">
        <f t="shared" ca="1" si="8"/>
        <v>0</v>
      </c>
      <c r="AG43" s="62">
        <f t="shared" ca="1" si="8"/>
        <v>0</v>
      </c>
      <c r="AH43" s="62">
        <f t="shared" ca="1" si="8"/>
        <v>0</v>
      </c>
      <c r="AI43" s="62">
        <f t="shared" ca="1" si="8"/>
        <v>0</v>
      </c>
      <c r="AJ43" s="62">
        <f t="shared" ca="1" si="8"/>
        <v>0</v>
      </c>
      <c r="AK43" s="62">
        <f t="shared" ca="1" si="8"/>
        <v>0</v>
      </c>
      <c r="AL43" s="62">
        <f t="shared" ca="1" si="8"/>
        <v>0</v>
      </c>
      <c r="AM43" s="62">
        <f t="shared" ca="1" si="8"/>
        <v>0</v>
      </c>
      <c r="AN43" s="62">
        <f t="shared" ca="1" si="8"/>
        <v>0</v>
      </c>
      <c r="AR43" s="63"/>
    </row>
    <row r="44" spans="1:44" ht="15.75">
      <c r="A44" s="167"/>
      <c r="B44" s="173"/>
      <c r="C44" s="174"/>
      <c r="D44" s="170"/>
      <c r="E44" s="175"/>
      <c r="F44" s="172"/>
      <c r="G44" s="66">
        <f t="shared" ca="1" si="5"/>
        <v>0</v>
      </c>
      <c r="H44" s="62">
        <f t="shared" ca="1" si="4"/>
        <v>0</v>
      </c>
      <c r="I44" s="27"/>
      <c r="J44" s="62">
        <f t="shared" ca="1" si="9"/>
        <v>0</v>
      </c>
      <c r="K44" s="62">
        <f t="shared" ca="1" si="9"/>
        <v>0</v>
      </c>
      <c r="L44" s="62">
        <f t="shared" ca="1" si="9"/>
        <v>0</v>
      </c>
      <c r="M44" s="62">
        <f t="shared" ca="1" si="9"/>
        <v>0</v>
      </c>
      <c r="N44" s="62">
        <f t="shared" ca="1" si="9"/>
        <v>0</v>
      </c>
      <c r="O44" s="62">
        <f t="shared" ca="1" si="9"/>
        <v>0</v>
      </c>
      <c r="P44" s="62">
        <f t="shared" ca="1" si="9"/>
        <v>0</v>
      </c>
      <c r="Q44" s="62">
        <f t="shared" ca="1" si="9"/>
        <v>0</v>
      </c>
      <c r="R44" s="62">
        <f t="shared" ca="1" si="9"/>
        <v>0</v>
      </c>
      <c r="S44" s="62">
        <f t="shared" ca="1" si="9"/>
        <v>0</v>
      </c>
      <c r="T44" s="62">
        <f t="shared" ca="1" si="9"/>
        <v>0</v>
      </c>
      <c r="U44" s="62">
        <f t="shared" ca="1" si="9"/>
        <v>0</v>
      </c>
      <c r="V44" s="62">
        <f t="shared" ca="1" si="9"/>
        <v>0</v>
      </c>
      <c r="W44" s="62">
        <f t="shared" ca="1" si="9"/>
        <v>0</v>
      </c>
      <c r="X44" s="62">
        <f t="shared" ca="1" si="9"/>
        <v>0</v>
      </c>
      <c r="Y44" s="62">
        <f t="shared" ca="1" si="9"/>
        <v>0</v>
      </c>
      <c r="Z44" s="62">
        <f t="shared" ca="1" si="8"/>
        <v>0</v>
      </c>
      <c r="AA44" s="62">
        <f t="shared" ca="1" si="8"/>
        <v>0</v>
      </c>
      <c r="AB44" s="62">
        <f t="shared" ca="1" si="8"/>
        <v>0</v>
      </c>
      <c r="AC44" s="62">
        <f t="shared" ca="1" si="8"/>
        <v>0</v>
      </c>
      <c r="AD44" s="62">
        <f t="shared" ca="1" si="8"/>
        <v>0</v>
      </c>
      <c r="AE44" s="62">
        <f t="shared" ca="1" si="8"/>
        <v>0</v>
      </c>
      <c r="AF44" s="62">
        <f t="shared" ca="1" si="8"/>
        <v>0</v>
      </c>
      <c r="AG44" s="62">
        <f t="shared" ca="1" si="8"/>
        <v>0</v>
      </c>
      <c r="AH44" s="62">
        <f t="shared" ca="1" si="8"/>
        <v>0</v>
      </c>
      <c r="AI44" s="62">
        <f t="shared" ca="1" si="8"/>
        <v>0</v>
      </c>
      <c r="AJ44" s="62">
        <f t="shared" ca="1" si="8"/>
        <v>0</v>
      </c>
      <c r="AK44" s="62">
        <f t="shared" ca="1" si="8"/>
        <v>0</v>
      </c>
      <c r="AL44" s="62">
        <f t="shared" ca="1" si="8"/>
        <v>0</v>
      </c>
      <c r="AM44" s="62">
        <f t="shared" ca="1" si="8"/>
        <v>0</v>
      </c>
      <c r="AN44" s="62">
        <f t="shared" ca="1" si="8"/>
        <v>0</v>
      </c>
      <c r="AR44" s="63"/>
    </row>
    <row r="45" spans="1:44" ht="15.75">
      <c r="A45" s="176"/>
      <c r="B45" s="173"/>
      <c r="C45" s="174"/>
      <c r="D45" s="170"/>
      <c r="E45" s="175"/>
      <c r="F45" s="172"/>
      <c r="G45" s="66">
        <f t="shared" ca="1" si="5"/>
        <v>0</v>
      </c>
      <c r="H45" s="62">
        <f t="shared" ca="1" si="4"/>
        <v>0</v>
      </c>
      <c r="I45" s="27"/>
      <c r="J45" s="62">
        <f t="shared" ca="1" si="9"/>
        <v>0</v>
      </c>
      <c r="K45" s="62">
        <f t="shared" ca="1" si="9"/>
        <v>0</v>
      </c>
      <c r="L45" s="62">
        <f t="shared" ca="1" si="9"/>
        <v>0</v>
      </c>
      <c r="M45" s="62">
        <f t="shared" ca="1" si="9"/>
        <v>0</v>
      </c>
      <c r="N45" s="62">
        <f t="shared" ca="1" si="9"/>
        <v>0</v>
      </c>
      <c r="O45" s="62">
        <f t="shared" ca="1" si="9"/>
        <v>0</v>
      </c>
      <c r="P45" s="62">
        <f t="shared" ca="1" si="9"/>
        <v>0</v>
      </c>
      <c r="Q45" s="62">
        <f t="shared" ca="1" si="9"/>
        <v>0</v>
      </c>
      <c r="R45" s="62">
        <f t="shared" ca="1" si="9"/>
        <v>0</v>
      </c>
      <c r="S45" s="62">
        <f t="shared" ca="1" si="9"/>
        <v>0</v>
      </c>
      <c r="T45" s="62">
        <f t="shared" ca="1" si="9"/>
        <v>0</v>
      </c>
      <c r="U45" s="62">
        <f t="shared" ca="1" si="9"/>
        <v>0</v>
      </c>
      <c r="V45" s="62">
        <f t="shared" ca="1" si="9"/>
        <v>0</v>
      </c>
      <c r="W45" s="62">
        <f t="shared" ca="1" si="9"/>
        <v>0</v>
      </c>
      <c r="X45" s="62">
        <f t="shared" ca="1" si="9"/>
        <v>0</v>
      </c>
      <c r="Y45" s="62">
        <f t="shared" ca="1" si="9"/>
        <v>0</v>
      </c>
      <c r="Z45" s="62">
        <f t="shared" ca="1" si="8"/>
        <v>0</v>
      </c>
      <c r="AA45" s="62">
        <f t="shared" ca="1" si="8"/>
        <v>0</v>
      </c>
      <c r="AB45" s="62">
        <f t="shared" ca="1" si="8"/>
        <v>0</v>
      </c>
      <c r="AC45" s="62">
        <f t="shared" ca="1" si="8"/>
        <v>0</v>
      </c>
      <c r="AD45" s="62">
        <f t="shared" ca="1" si="8"/>
        <v>0</v>
      </c>
      <c r="AE45" s="62">
        <f t="shared" ca="1" si="8"/>
        <v>0</v>
      </c>
      <c r="AF45" s="62">
        <f t="shared" ca="1" si="8"/>
        <v>0</v>
      </c>
      <c r="AG45" s="62">
        <f t="shared" ca="1" si="8"/>
        <v>0</v>
      </c>
      <c r="AH45" s="62">
        <f t="shared" ca="1" si="8"/>
        <v>0</v>
      </c>
      <c r="AI45" s="62">
        <f t="shared" ca="1" si="8"/>
        <v>0</v>
      </c>
      <c r="AJ45" s="62">
        <f t="shared" ca="1" si="8"/>
        <v>0</v>
      </c>
      <c r="AK45" s="62">
        <f t="shared" ca="1" si="8"/>
        <v>0</v>
      </c>
      <c r="AL45" s="62">
        <f t="shared" ca="1" si="8"/>
        <v>0</v>
      </c>
      <c r="AM45" s="62">
        <f t="shared" ca="1" si="8"/>
        <v>0</v>
      </c>
      <c r="AN45" s="62">
        <f t="shared" ca="1" si="8"/>
        <v>0</v>
      </c>
      <c r="AR45" s="63"/>
    </row>
    <row r="46" spans="1:44" ht="15.75">
      <c r="A46" s="176"/>
      <c r="B46" s="173"/>
      <c r="C46" s="174"/>
      <c r="D46" s="170"/>
      <c r="E46" s="175"/>
      <c r="F46" s="172"/>
      <c r="G46" s="66">
        <f t="shared" ca="1" si="5"/>
        <v>0</v>
      </c>
      <c r="H46" s="62">
        <f t="shared" ca="1" si="4"/>
        <v>0</v>
      </c>
      <c r="I46" s="27"/>
      <c r="J46" s="62">
        <f t="shared" ca="1" si="9"/>
        <v>0</v>
      </c>
      <c r="K46" s="62">
        <f t="shared" ca="1" si="9"/>
        <v>0</v>
      </c>
      <c r="L46" s="62">
        <f t="shared" ca="1" si="9"/>
        <v>0</v>
      </c>
      <c r="M46" s="62">
        <f t="shared" ca="1" si="9"/>
        <v>0</v>
      </c>
      <c r="N46" s="62">
        <f t="shared" ca="1" si="9"/>
        <v>0</v>
      </c>
      <c r="O46" s="62">
        <f t="shared" ca="1" si="9"/>
        <v>0</v>
      </c>
      <c r="P46" s="62">
        <f t="shared" ca="1" si="9"/>
        <v>0</v>
      </c>
      <c r="Q46" s="62">
        <f t="shared" ca="1" si="9"/>
        <v>0</v>
      </c>
      <c r="R46" s="62">
        <f ca="1">IF(ABS($E46-R$9)&lt;0.5,$D46,0)</f>
        <v>0</v>
      </c>
      <c r="S46" s="62">
        <f t="shared" ca="1" si="9"/>
        <v>0</v>
      </c>
      <c r="T46" s="62">
        <f t="shared" ca="1" si="9"/>
        <v>0</v>
      </c>
      <c r="U46" s="62">
        <f t="shared" ca="1" si="9"/>
        <v>0</v>
      </c>
      <c r="V46" s="62">
        <f t="shared" ca="1" si="9"/>
        <v>0</v>
      </c>
      <c r="W46" s="62">
        <f t="shared" ca="1" si="9"/>
        <v>0</v>
      </c>
      <c r="X46" s="62">
        <f t="shared" ca="1" si="9"/>
        <v>0</v>
      </c>
      <c r="Y46" s="62">
        <f t="shared" ca="1" si="9"/>
        <v>0</v>
      </c>
      <c r="Z46" s="62">
        <f t="shared" ca="1" si="8"/>
        <v>0</v>
      </c>
      <c r="AA46" s="62">
        <f t="shared" ca="1" si="8"/>
        <v>0</v>
      </c>
      <c r="AB46" s="62">
        <f t="shared" ca="1" si="8"/>
        <v>0</v>
      </c>
      <c r="AC46" s="62">
        <f t="shared" ca="1" si="8"/>
        <v>0</v>
      </c>
      <c r="AD46" s="62">
        <f t="shared" ca="1" si="8"/>
        <v>0</v>
      </c>
      <c r="AE46" s="62">
        <f t="shared" ca="1" si="8"/>
        <v>0</v>
      </c>
      <c r="AF46" s="62">
        <f t="shared" ca="1" si="8"/>
        <v>0</v>
      </c>
      <c r="AG46" s="62">
        <f t="shared" ca="1" si="8"/>
        <v>0</v>
      </c>
      <c r="AH46" s="62">
        <f t="shared" ca="1" si="8"/>
        <v>0</v>
      </c>
      <c r="AI46" s="62">
        <f t="shared" ca="1" si="8"/>
        <v>0</v>
      </c>
      <c r="AJ46" s="62">
        <f t="shared" ca="1" si="8"/>
        <v>0</v>
      </c>
      <c r="AK46" s="62">
        <f t="shared" ca="1" si="8"/>
        <v>0</v>
      </c>
      <c r="AL46" s="62">
        <f t="shared" ca="1" si="8"/>
        <v>0</v>
      </c>
      <c r="AM46" s="62">
        <f t="shared" ca="1" si="8"/>
        <v>0</v>
      </c>
      <c r="AN46" s="62">
        <f t="shared" ca="1" si="8"/>
        <v>0</v>
      </c>
      <c r="AR46" s="63"/>
    </row>
    <row r="47" spans="1:44" ht="15.75">
      <c r="A47" s="177"/>
      <c r="B47" s="178"/>
      <c r="C47" s="174"/>
      <c r="D47" s="179"/>
      <c r="E47" s="180"/>
      <c r="F47" s="172"/>
      <c r="G47" s="66">
        <f t="shared" ca="1" si="5"/>
        <v>0</v>
      </c>
      <c r="H47" s="62">
        <f t="shared" ca="1" si="4"/>
        <v>0</v>
      </c>
      <c r="I47" s="27"/>
      <c r="J47" s="62">
        <f t="shared" ca="1" si="9"/>
        <v>0</v>
      </c>
      <c r="K47" s="62">
        <f t="shared" ca="1" si="9"/>
        <v>0</v>
      </c>
      <c r="L47" s="62">
        <f t="shared" ca="1" si="9"/>
        <v>0</v>
      </c>
      <c r="M47" s="62">
        <f t="shared" ca="1" si="9"/>
        <v>0</v>
      </c>
      <c r="N47" s="62">
        <f t="shared" ca="1" si="9"/>
        <v>0</v>
      </c>
      <c r="O47" s="62">
        <f t="shared" ca="1" si="9"/>
        <v>0</v>
      </c>
      <c r="P47" s="62">
        <f t="shared" ca="1" si="9"/>
        <v>0</v>
      </c>
      <c r="Q47" s="62">
        <f t="shared" ca="1" si="9"/>
        <v>0</v>
      </c>
      <c r="R47" s="62">
        <f t="shared" ca="1" si="9"/>
        <v>0</v>
      </c>
      <c r="S47" s="62">
        <f t="shared" ca="1" si="9"/>
        <v>0</v>
      </c>
      <c r="T47" s="62">
        <f t="shared" ca="1" si="9"/>
        <v>0</v>
      </c>
      <c r="U47" s="62">
        <f t="shared" ca="1" si="9"/>
        <v>0</v>
      </c>
      <c r="V47" s="62">
        <f t="shared" ca="1" si="9"/>
        <v>0</v>
      </c>
      <c r="W47" s="62">
        <f t="shared" ca="1" si="9"/>
        <v>0</v>
      </c>
      <c r="X47" s="62">
        <f t="shared" ca="1" si="9"/>
        <v>0</v>
      </c>
      <c r="Y47" s="62">
        <f t="shared" ca="1" si="9"/>
        <v>0</v>
      </c>
      <c r="Z47" s="62">
        <f t="shared" ca="1" si="8"/>
        <v>0</v>
      </c>
      <c r="AA47" s="62">
        <f t="shared" ca="1" si="8"/>
        <v>0</v>
      </c>
      <c r="AB47" s="62">
        <f t="shared" ca="1" si="8"/>
        <v>0</v>
      </c>
      <c r="AC47" s="62">
        <f t="shared" ca="1" si="8"/>
        <v>0</v>
      </c>
      <c r="AD47" s="62">
        <f t="shared" ca="1" si="8"/>
        <v>0</v>
      </c>
      <c r="AE47" s="62">
        <f t="shared" ca="1" si="8"/>
        <v>0</v>
      </c>
      <c r="AF47" s="62">
        <f t="shared" ca="1" si="8"/>
        <v>0</v>
      </c>
      <c r="AG47" s="62">
        <f t="shared" ca="1" si="8"/>
        <v>0</v>
      </c>
      <c r="AH47" s="62">
        <f t="shared" ca="1" si="8"/>
        <v>0</v>
      </c>
      <c r="AI47" s="62">
        <f t="shared" ca="1" si="8"/>
        <v>0</v>
      </c>
      <c r="AJ47" s="62">
        <f t="shared" ca="1" si="8"/>
        <v>0</v>
      </c>
      <c r="AK47" s="62">
        <f t="shared" ca="1" si="8"/>
        <v>0</v>
      </c>
      <c r="AL47" s="62">
        <f t="shared" ca="1" si="8"/>
        <v>0</v>
      </c>
      <c r="AM47" s="62">
        <f t="shared" ca="1" si="8"/>
        <v>0</v>
      </c>
      <c r="AN47" s="62">
        <f t="shared" ca="1" si="8"/>
        <v>0</v>
      </c>
      <c r="AR47" s="63"/>
    </row>
    <row r="48" spans="1:44" ht="15.75">
      <c r="A48" s="177"/>
      <c r="B48" s="178"/>
      <c r="C48" s="174"/>
      <c r="D48" s="179"/>
      <c r="E48" s="180"/>
      <c r="F48" s="172"/>
      <c r="G48" s="66">
        <f t="shared" ca="1" si="5"/>
        <v>0</v>
      </c>
      <c r="H48" s="62">
        <f t="shared" ca="1" si="4"/>
        <v>0</v>
      </c>
      <c r="I48" s="27"/>
      <c r="J48" s="62">
        <f t="shared" ca="1" si="9"/>
        <v>0</v>
      </c>
      <c r="K48" s="62">
        <f t="shared" ca="1" si="9"/>
        <v>0</v>
      </c>
      <c r="L48" s="62">
        <f t="shared" ca="1" si="9"/>
        <v>0</v>
      </c>
      <c r="M48" s="62">
        <f t="shared" ca="1" si="9"/>
        <v>0</v>
      </c>
      <c r="N48" s="62">
        <f t="shared" ca="1" si="9"/>
        <v>0</v>
      </c>
      <c r="O48" s="62">
        <f t="shared" ca="1" si="9"/>
        <v>0</v>
      </c>
      <c r="P48" s="62">
        <f t="shared" ca="1" si="9"/>
        <v>0</v>
      </c>
      <c r="Q48" s="62">
        <f t="shared" ca="1" si="9"/>
        <v>0</v>
      </c>
      <c r="R48" s="62">
        <f t="shared" ca="1" si="9"/>
        <v>0</v>
      </c>
      <c r="S48" s="62">
        <f t="shared" ca="1" si="9"/>
        <v>0</v>
      </c>
      <c r="T48" s="62">
        <f t="shared" ca="1" si="9"/>
        <v>0</v>
      </c>
      <c r="U48" s="62">
        <f t="shared" ca="1" si="9"/>
        <v>0</v>
      </c>
      <c r="V48" s="62">
        <f t="shared" ca="1" si="9"/>
        <v>0</v>
      </c>
      <c r="W48" s="62">
        <f t="shared" ca="1" si="9"/>
        <v>0</v>
      </c>
      <c r="X48" s="62">
        <f t="shared" ca="1" si="9"/>
        <v>0</v>
      </c>
      <c r="Y48" s="62">
        <f t="shared" ca="1" si="9"/>
        <v>0</v>
      </c>
      <c r="Z48" s="62">
        <f t="shared" ca="1" si="8"/>
        <v>0</v>
      </c>
      <c r="AA48" s="62">
        <f t="shared" ca="1" si="8"/>
        <v>0</v>
      </c>
      <c r="AB48" s="62">
        <f t="shared" ca="1" si="8"/>
        <v>0</v>
      </c>
      <c r="AC48" s="62">
        <f t="shared" ca="1" si="8"/>
        <v>0</v>
      </c>
      <c r="AD48" s="62">
        <f t="shared" ca="1" si="8"/>
        <v>0</v>
      </c>
      <c r="AE48" s="62">
        <f t="shared" ca="1" si="8"/>
        <v>0</v>
      </c>
      <c r="AF48" s="62">
        <f t="shared" ca="1" si="8"/>
        <v>0</v>
      </c>
      <c r="AG48" s="62">
        <f t="shared" ca="1" si="8"/>
        <v>0</v>
      </c>
      <c r="AH48" s="62">
        <f t="shared" ca="1" si="8"/>
        <v>0</v>
      </c>
      <c r="AI48" s="62">
        <f t="shared" ca="1" si="8"/>
        <v>0</v>
      </c>
      <c r="AJ48" s="62">
        <f t="shared" ca="1" si="8"/>
        <v>0</v>
      </c>
      <c r="AK48" s="62">
        <f t="shared" ca="1" si="8"/>
        <v>0</v>
      </c>
      <c r="AL48" s="62">
        <f t="shared" ca="1" si="8"/>
        <v>0</v>
      </c>
      <c r="AM48" s="62">
        <f t="shared" ca="1" si="8"/>
        <v>0</v>
      </c>
      <c r="AN48" s="62">
        <f t="shared" ca="1" si="8"/>
        <v>0</v>
      </c>
      <c r="AR48" s="63"/>
    </row>
    <row r="49" spans="1:44" ht="15.75">
      <c r="A49" s="177"/>
      <c r="B49" s="178"/>
      <c r="C49" s="174"/>
      <c r="D49" s="179"/>
      <c r="E49" s="180"/>
      <c r="F49" s="172"/>
      <c r="G49" s="66">
        <f t="shared" ca="1" si="5"/>
        <v>0</v>
      </c>
      <c r="H49" s="62">
        <f t="shared" ca="1" si="4"/>
        <v>0</v>
      </c>
      <c r="I49" s="27"/>
      <c r="J49" s="62">
        <f t="shared" ca="1" si="9"/>
        <v>0</v>
      </c>
      <c r="K49" s="62">
        <f t="shared" ca="1" si="9"/>
        <v>0</v>
      </c>
      <c r="L49" s="62">
        <f t="shared" ca="1" si="9"/>
        <v>0</v>
      </c>
      <c r="M49" s="62">
        <f t="shared" ca="1" si="9"/>
        <v>0</v>
      </c>
      <c r="N49" s="62">
        <f t="shared" ca="1" si="9"/>
        <v>0</v>
      </c>
      <c r="O49" s="62">
        <f t="shared" ca="1" si="9"/>
        <v>0</v>
      </c>
      <c r="P49" s="62">
        <f t="shared" ca="1" si="9"/>
        <v>0</v>
      </c>
      <c r="Q49" s="62">
        <f t="shared" ca="1" si="9"/>
        <v>0</v>
      </c>
      <c r="R49" s="62">
        <f t="shared" ca="1" si="9"/>
        <v>0</v>
      </c>
      <c r="S49" s="62">
        <f t="shared" ca="1" si="9"/>
        <v>0</v>
      </c>
      <c r="T49" s="62">
        <f t="shared" ca="1" si="9"/>
        <v>0</v>
      </c>
      <c r="U49" s="62">
        <f t="shared" ca="1" si="9"/>
        <v>0</v>
      </c>
      <c r="V49" s="62">
        <f t="shared" ca="1" si="9"/>
        <v>0</v>
      </c>
      <c r="W49" s="62">
        <f t="shared" ca="1" si="9"/>
        <v>0</v>
      </c>
      <c r="X49" s="62">
        <f t="shared" ca="1" si="9"/>
        <v>0</v>
      </c>
      <c r="Y49" s="62">
        <f t="shared" ca="1" si="9"/>
        <v>0</v>
      </c>
      <c r="Z49" s="62">
        <f t="shared" ca="1" si="8"/>
        <v>0</v>
      </c>
      <c r="AA49" s="62">
        <f t="shared" ca="1" si="8"/>
        <v>0</v>
      </c>
      <c r="AB49" s="62">
        <f t="shared" ca="1" si="8"/>
        <v>0</v>
      </c>
      <c r="AC49" s="62">
        <f t="shared" ca="1" si="8"/>
        <v>0</v>
      </c>
      <c r="AD49" s="62">
        <f t="shared" ca="1" si="8"/>
        <v>0</v>
      </c>
      <c r="AE49" s="62">
        <f t="shared" ca="1" si="8"/>
        <v>0</v>
      </c>
      <c r="AF49" s="62">
        <f t="shared" ca="1" si="8"/>
        <v>0</v>
      </c>
      <c r="AG49" s="62">
        <f t="shared" ca="1" si="8"/>
        <v>0</v>
      </c>
      <c r="AH49" s="62">
        <f t="shared" ca="1" si="8"/>
        <v>0</v>
      </c>
      <c r="AI49" s="62">
        <f t="shared" ca="1" si="8"/>
        <v>0</v>
      </c>
      <c r="AJ49" s="62">
        <f t="shared" ca="1" si="8"/>
        <v>0</v>
      </c>
      <c r="AK49" s="62">
        <f t="shared" ca="1" si="8"/>
        <v>0</v>
      </c>
      <c r="AL49" s="62">
        <f t="shared" ca="1" si="8"/>
        <v>0</v>
      </c>
      <c r="AM49" s="62">
        <f t="shared" ca="1" si="8"/>
        <v>0</v>
      </c>
      <c r="AN49" s="62">
        <f t="shared" ca="1" si="8"/>
        <v>0</v>
      </c>
      <c r="AR49" s="63"/>
    </row>
    <row r="50" spans="1:44" ht="15.75">
      <c r="A50" s="177"/>
      <c r="B50" s="178"/>
      <c r="C50" s="174"/>
      <c r="D50" s="179"/>
      <c r="E50" s="180"/>
      <c r="F50" s="172"/>
      <c r="G50" s="66">
        <f t="shared" ca="1" si="5"/>
        <v>0</v>
      </c>
      <c r="H50" s="62">
        <f t="shared" ca="1" si="4"/>
        <v>0</v>
      </c>
      <c r="I50" s="27"/>
      <c r="J50" s="62">
        <f t="shared" ca="1" si="9"/>
        <v>0</v>
      </c>
      <c r="K50" s="62">
        <f t="shared" ca="1" si="9"/>
        <v>0</v>
      </c>
      <c r="L50" s="62">
        <f t="shared" ca="1" si="9"/>
        <v>0</v>
      </c>
      <c r="M50" s="62">
        <f t="shared" ca="1" si="9"/>
        <v>0</v>
      </c>
      <c r="N50" s="62">
        <f t="shared" ca="1" si="9"/>
        <v>0</v>
      </c>
      <c r="O50" s="62">
        <f t="shared" ca="1" si="9"/>
        <v>0</v>
      </c>
      <c r="P50" s="62">
        <f t="shared" ca="1" si="9"/>
        <v>0</v>
      </c>
      <c r="Q50" s="62">
        <f t="shared" ca="1" si="9"/>
        <v>0</v>
      </c>
      <c r="R50" s="62">
        <f t="shared" ca="1" si="9"/>
        <v>0</v>
      </c>
      <c r="S50" s="62">
        <f t="shared" ca="1" si="9"/>
        <v>0</v>
      </c>
      <c r="T50" s="62">
        <f t="shared" ca="1" si="9"/>
        <v>0</v>
      </c>
      <c r="U50" s="62">
        <f t="shared" ca="1" si="9"/>
        <v>0</v>
      </c>
      <c r="V50" s="62">
        <f t="shared" ca="1" si="9"/>
        <v>0</v>
      </c>
      <c r="W50" s="62">
        <f t="shared" ca="1" si="9"/>
        <v>0</v>
      </c>
      <c r="X50" s="62">
        <f t="shared" ca="1" si="9"/>
        <v>0</v>
      </c>
      <c r="Y50" s="62">
        <f t="shared" ca="1" si="9"/>
        <v>0</v>
      </c>
      <c r="Z50" s="62">
        <f t="shared" ca="1" si="8"/>
        <v>0</v>
      </c>
      <c r="AA50" s="62">
        <f t="shared" ca="1" si="8"/>
        <v>0</v>
      </c>
      <c r="AB50" s="62">
        <f t="shared" ca="1" si="8"/>
        <v>0</v>
      </c>
      <c r="AC50" s="62">
        <f t="shared" ca="1" si="8"/>
        <v>0</v>
      </c>
      <c r="AD50" s="62">
        <f t="shared" ca="1" si="8"/>
        <v>0</v>
      </c>
      <c r="AE50" s="62">
        <f t="shared" ca="1" si="8"/>
        <v>0</v>
      </c>
      <c r="AF50" s="62">
        <f t="shared" ca="1" si="8"/>
        <v>0</v>
      </c>
      <c r="AG50" s="62">
        <f t="shared" ca="1" si="8"/>
        <v>0</v>
      </c>
      <c r="AH50" s="62">
        <f t="shared" ca="1" si="8"/>
        <v>0</v>
      </c>
      <c r="AI50" s="62">
        <f t="shared" ca="1" si="8"/>
        <v>0</v>
      </c>
      <c r="AJ50" s="62">
        <f t="shared" ca="1" si="8"/>
        <v>0</v>
      </c>
      <c r="AK50" s="62">
        <f t="shared" ca="1" si="8"/>
        <v>0</v>
      </c>
      <c r="AL50" s="62">
        <f t="shared" ca="1" si="8"/>
        <v>0</v>
      </c>
      <c r="AM50" s="62">
        <f t="shared" ca="1" si="8"/>
        <v>0</v>
      </c>
      <c r="AN50" s="62">
        <f t="shared" ca="1" si="8"/>
        <v>0</v>
      </c>
      <c r="AR50" s="63"/>
    </row>
    <row r="51" spans="1:44" ht="15.75">
      <c r="A51" s="177"/>
      <c r="B51" s="178"/>
      <c r="C51" s="174"/>
      <c r="D51" s="179"/>
      <c r="E51" s="180"/>
      <c r="F51" s="172"/>
      <c r="G51" s="66">
        <f t="shared" ca="1" si="5"/>
        <v>0</v>
      </c>
      <c r="H51" s="62">
        <f t="shared" ca="1" si="4"/>
        <v>0</v>
      </c>
      <c r="I51" s="27"/>
      <c r="J51" s="62">
        <f t="shared" ca="1" si="9"/>
        <v>0</v>
      </c>
      <c r="K51" s="62">
        <f t="shared" ca="1" si="9"/>
        <v>0</v>
      </c>
      <c r="L51" s="62">
        <f t="shared" ca="1" si="9"/>
        <v>0</v>
      </c>
      <c r="M51" s="62">
        <f t="shared" ca="1" si="9"/>
        <v>0</v>
      </c>
      <c r="N51" s="62">
        <f t="shared" ca="1" si="9"/>
        <v>0</v>
      </c>
      <c r="O51" s="62">
        <f t="shared" ca="1" si="9"/>
        <v>0</v>
      </c>
      <c r="P51" s="62">
        <f t="shared" ca="1" si="9"/>
        <v>0</v>
      </c>
      <c r="Q51" s="62">
        <f t="shared" ca="1" si="9"/>
        <v>0</v>
      </c>
      <c r="R51" s="62">
        <f t="shared" ca="1" si="9"/>
        <v>0</v>
      </c>
      <c r="S51" s="62">
        <f t="shared" ca="1" si="9"/>
        <v>0</v>
      </c>
      <c r="T51" s="62">
        <f t="shared" ca="1" si="9"/>
        <v>0</v>
      </c>
      <c r="U51" s="62">
        <f t="shared" ca="1" si="9"/>
        <v>0</v>
      </c>
      <c r="V51" s="62">
        <f t="shared" ca="1" si="9"/>
        <v>0</v>
      </c>
      <c r="W51" s="62">
        <f t="shared" ca="1" si="9"/>
        <v>0</v>
      </c>
      <c r="X51" s="62">
        <f t="shared" ca="1" si="9"/>
        <v>0</v>
      </c>
      <c r="Y51" s="62">
        <f t="shared" ca="1" si="9"/>
        <v>0</v>
      </c>
      <c r="Z51" s="62">
        <f t="shared" ca="1" si="8"/>
        <v>0</v>
      </c>
      <c r="AA51" s="62">
        <f t="shared" ca="1" si="8"/>
        <v>0</v>
      </c>
      <c r="AB51" s="62">
        <f t="shared" ca="1" si="8"/>
        <v>0</v>
      </c>
      <c r="AC51" s="62">
        <f t="shared" ca="1" si="8"/>
        <v>0</v>
      </c>
      <c r="AD51" s="62">
        <f t="shared" ca="1" si="8"/>
        <v>0</v>
      </c>
      <c r="AE51" s="62">
        <f t="shared" ca="1" si="8"/>
        <v>0</v>
      </c>
      <c r="AF51" s="62">
        <f t="shared" ca="1" si="8"/>
        <v>0</v>
      </c>
      <c r="AG51" s="62">
        <f t="shared" ca="1" si="8"/>
        <v>0</v>
      </c>
      <c r="AH51" s="62">
        <f t="shared" ca="1" si="8"/>
        <v>0</v>
      </c>
      <c r="AI51" s="62">
        <f t="shared" ca="1" si="8"/>
        <v>0</v>
      </c>
      <c r="AJ51" s="62">
        <f t="shared" ca="1" si="8"/>
        <v>0</v>
      </c>
      <c r="AK51" s="62">
        <f t="shared" ca="1" si="8"/>
        <v>0</v>
      </c>
      <c r="AL51" s="62">
        <f t="shared" ca="1" si="8"/>
        <v>0</v>
      </c>
      <c r="AM51" s="62">
        <f t="shared" ca="1" si="8"/>
        <v>0</v>
      </c>
      <c r="AN51" s="62">
        <f t="shared" ca="1" si="8"/>
        <v>0</v>
      </c>
      <c r="AR51" s="63"/>
    </row>
    <row r="52" spans="1:44" ht="15.75">
      <c r="A52" s="177"/>
      <c r="B52" s="178"/>
      <c r="C52" s="174"/>
      <c r="D52" s="179"/>
      <c r="E52" s="180"/>
      <c r="F52" s="172"/>
      <c r="G52" s="66">
        <f t="shared" ca="1" si="5"/>
        <v>0</v>
      </c>
      <c r="H52" s="62">
        <f t="shared" ca="1" si="4"/>
        <v>0</v>
      </c>
      <c r="I52" s="27"/>
      <c r="J52" s="62">
        <f t="shared" ca="1" si="9"/>
        <v>0</v>
      </c>
      <c r="K52" s="62">
        <f t="shared" ca="1" si="9"/>
        <v>0</v>
      </c>
      <c r="L52" s="62">
        <f t="shared" ca="1" si="9"/>
        <v>0</v>
      </c>
      <c r="M52" s="62">
        <f t="shared" ca="1" si="9"/>
        <v>0</v>
      </c>
      <c r="N52" s="62">
        <f t="shared" ca="1" si="9"/>
        <v>0</v>
      </c>
      <c r="O52" s="62">
        <f t="shared" ca="1" si="9"/>
        <v>0</v>
      </c>
      <c r="P52" s="62">
        <f t="shared" ca="1" si="9"/>
        <v>0</v>
      </c>
      <c r="Q52" s="62">
        <f t="shared" ca="1" si="9"/>
        <v>0</v>
      </c>
      <c r="R52" s="62">
        <f t="shared" ca="1" si="9"/>
        <v>0</v>
      </c>
      <c r="S52" s="62">
        <f t="shared" ca="1" si="9"/>
        <v>0</v>
      </c>
      <c r="T52" s="62">
        <f t="shared" ca="1" si="9"/>
        <v>0</v>
      </c>
      <c r="U52" s="62">
        <f t="shared" ca="1" si="9"/>
        <v>0</v>
      </c>
      <c r="V52" s="62">
        <f t="shared" ca="1" si="9"/>
        <v>0</v>
      </c>
      <c r="W52" s="62">
        <f t="shared" ca="1" si="9"/>
        <v>0</v>
      </c>
      <c r="X52" s="62">
        <f t="shared" ca="1" si="9"/>
        <v>0</v>
      </c>
      <c r="Y52" s="62">
        <f t="shared" ca="1" si="9"/>
        <v>0</v>
      </c>
      <c r="Z52" s="62">
        <f t="shared" ca="1" si="8"/>
        <v>0</v>
      </c>
      <c r="AA52" s="62">
        <f t="shared" ca="1" si="8"/>
        <v>0</v>
      </c>
      <c r="AB52" s="62">
        <f t="shared" ca="1" si="8"/>
        <v>0</v>
      </c>
      <c r="AC52" s="62">
        <f t="shared" ca="1" si="8"/>
        <v>0</v>
      </c>
      <c r="AD52" s="62">
        <f t="shared" ca="1" si="8"/>
        <v>0</v>
      </c>
      <c r="AE52" s="62">
        <f t="shared" ca="1" si="8"/>
        <v>0</v>
      </c>
      <c r="AF52" s="62">
        <f t="shared" ca="1" si="8"/>
        <v>0</v>
      </c>
      <c r="AG52" s="62">
        <f t="shared" ca="1" si="8"/>
        <v>0</v>
      </c>
      <c r="AH52" s="62">
        <f t="shared" ca="1" si="8"/>
        <v>0</v>
      </c>
      <c r="AI52" s="62">
        <f t="shared" ca="1" si="8"/>
        <v>0</v>
      </c>
      <c r="AJ52" s="62">
        <f t="shared" ca="1" si="8"/>
        <v>0</v>
      </c>
      <c r="AK52" s="62">
        <f t="shared" ca="1" si="8"/>
        <v>0</v>
      </c>
      <c r="AL52" s="62">
        <f t="shared" ca="1" si="8"/>
        <v>0</v>
      </c>
      <c r="AM52" s="62">
        <f t="shared" ca="1" si="8"/>
        <v>0</v>
      </c>
      <c r="AN52" s="62">
        <f t="shared" ca="1" si="8"/>
        <v>0</v>
      </c>
      <c r="AR52" s="63"/>
    </row>
    <row r="53" spans="1:44" ht="15.75">
      <c r="A53" s="177"/>
      <c r="B53" s="178"/>
      <c r="C53" s="174"/>
      <c r="D53" s="179"/>
      <c r="E53" s="180"/>
      <c r="F53" s="172"/>
      <c r="G53" s="66">
        <f t="shared" ca="1" si="5"/>
        <v>0</v>
      </c>
      <c r="H53" s="62">
        <f t="shared" ca="1" si="4"/>
        <v>0</v>
      </c>
      <c r="I53" s="27"/>
      <c r="J53" s="62">
        <f t="shared" ca="1" si="9"/>
        <v>0</v>
      </c>
      <c r="K53" s="62">
        <f t="shared" ca="1" si="9"/>
        <v>0</v>
      </c>
      <c r="L53" s="62">
        <f t="shared" ca="1" si="9"/>
        <v>0</v>
      </c>
      <c r="M53" s="62">
        <f t="shared" ca="1" si="9"/>
        <v>0</v>
      </c>
      <c r="N53" s="62">
        <f t="shared" ca="1" si="9"/>
        <v>0</v>
      </c>
      <c r="O53" s="62">
        <f t="shared" ca="1" si="9"/>
        <v>0</v>
      </c>
      <c r="P53" s="62">
        <f t="shared" ca="1" si="9"/>
        <v>0</v>
      </c>
      <c r="Q53" s="62">
        <f t="shared" ca="1" si="9"/>
        <v>0</v>
      </c>
      <c r="R53" s="62">
        <f t="shared" ca="1" si="9"/>
        <v>0</v>
      </c>
      <c r="S53" s="62">
        <f t="shared" ca="1" si="9"/>
        <v>0</v>
      </c>
      <c r="T53" s="62">
        <f t="shared" ca="1" si="9"/>
        <v>0</v>
      </c>
      <c r="U53" s="62">
        <f t="shared" ca="1" si="9"/>
        <v>0</v>
      </c>
      <c r="V53" s="62">
        <f t="shared" ca="1" si="9"/>
        <v>0</v>
      </c>
      <c r="W53" s="62">
        <f t="shared" ca="1" si="9"/>
        <v>0</v>
      </c>
      <c r="X53" s="62">
        <f t="shared" ca="1" si="9"/>
        <v>0</v>
      </c>
      <c r="Y53" s="62">
        <f t="shared" ca="1" si="9"/>
        <v>0</v>
      </c>
      <c r="Z53" s="62">
        <f t="shared" ca="1" si="8"/>
        <v>0</v>
      </c>
      <c r="AA53" s="62">
        <f t="shared" ca="1" si="8"/>
        <v>0</v>
      </c>
      <c r="AB53" s="62">
        <f t="shared" ca="1" si="8"/>
        <v>0</v>
      </c>
      <c r="AC53" s="62">
        <f t="shared" ca="1" si="8"/>
        <v>0</v>
      </c>
      <c r="AD53" s="62">
        <f t="shared" ca="1" si="8"/>
        <v>0</v>
      </c>
      <c r="AE53" s="62">
        <f t="shared" ca="1" si="8"/>
        <v>0</v>
      </c>
      <c r="AF53" s="62">
        <f t="shared" ca="1" si="8"/>
        <v>0</v>
      </c>
      <c r="AG53" s="62">
        <f t="shared" ca="1" si="8"/>
        <v>0</v>
      </c>
      <c r="AH53" s="62">
        <f t="shared" ca="1" si="8"/>
        <v>0</v>
      </c>
      <c r="AI53" s="62">
        <f t="shared" ca="1" si="8"/>
        <v>0</v>
      </c>
      <c r="AJ53" s="62">
        <f t="shared" ca="1" si="8"/>
        <v>0</v>
      </c>
      <c r="AK53" s="62">
        <f t="shared" ca="1" si="8"/>
        <v>0</v>
      </c>
      <c r="AL53" s="62">
        <f t="shared" ca="1" si="8"/>
        <v>0</v>
      </c>
      <c r="AM53" s="62">
        <f t="shared" ca="1" si="8"/>
        <v>0</v>
      </c>
      <c r="AN53" s="62">
        <f t="shared" ca="1" si="8"/>
        <v>0</v>
      </c>
      <c r="AR53" s="63"/>
    </row>
    <row r="54" spans="1:44" ht="15.75">
      <c r="A54" s="177"/>
      <c r="B54" s="178"/>
      <c r="C54" s="174"/>
      <c r="D54" s="179"/>
      <c r="E54" s="180"/>
      <c r="F54" s="172"/>
      <c r="G54" s="66">
        <f t="shared" ca="1" si="5"/>
        <v>0</v>
      </c>
      <c r="H54" s="62">
        <f t="shared" ca="1" si="4"/>
        <v>0</v>
      </c>
      <c r="I54" s="27"/>
      <c r="J54" s="62">
        <f t="shared" ca="1" si="9"/>
        <v>0</v>
      </c>
      <c r="K54" s="62">
        <f t="shared" ca="1" si="9"/>
        <v>0</v>
      </c>
      <c r="L54" s="62">
        <f t="shared" ca="1" si="9"/>
        <v>0</v>
      </c>
      <c r="M54" s="62">
        <f t="shared" ca="1" si="9"/>
        <v>0</v>
      </c>
      <c r="N54" s="62">
        <f t="shared" ca="1" si="9"/>
        <v>0</v>
      </c>
      <c r="O54" s="62">
        <f t="shared" ca="1" si="9"/>
        <v>0</v>
      </c>
      <c r="P54" s="62">
        <f t="shared" ca="1" si="9"/>
        <v>0</v>
      </c>
      <c r="Q54" s="62">
        <f t="shared" ca="1" si="9"/>
        <v>0</v>
      </c>
      <c r="R54" s="62">
        <f t="shared" ca="1" si="9"/>
        <v>0</v>
      </c>
      <c r="S54" s="62">
        <f t="shared" ca="1" si="9"/>
        <v>0</v>
      </c>
      <c r="T54" s="62">
        <f t="shared" ca="1" si="9"/>
        <v>0</v>
      </c>
      <c r="U54" s="62">
        <f t="shared" ca="1" si="9"/>
        <v>0</v>
      </c>
      <c r="V54" s="62">
        <f t="shared" ca="1" si="9"/>
        <v>0</v>
      </c>
      <c r="W54" s="62">
        <f t="shared" ca="1" si="9"/>
        <v>0</v>
      </c>
      <c r="X54" s="62">
        <f t="shared" ca="1" si="9"/>
        <v>0</v>
      </c>
      <c r="Y54" s="62">
        <f t="shared" ca="1" si="9"/>
        <v>0</v>
      </c>
      <c r="Z54" s="62">
        <f t="shared" ca="1" si="8"/>
        <v>0</v>
      </c>
      <c r="AA54" s="62">
        <f t="shared" ca="1" si="8"/>
        <v>0</v>
      </c>
      <c r="AB54" s="62">
        <f t="shared" ca="1" si="8"/>
        <v>0</v>
      </c>
      <c r="AC54" s="62">
        <f t="shared" ca="1" si="8"/>
        <v>0</v>
      </c>
      <c r="AD54" s="62">
        <f t="shared" ca="1" si="8"/>
        <v>0</v>
      </c>
      <c r="AE54" s="62">
        <f t="shared" ca="1" si="8"/>
        <v>0</v>
      </c>
      <c r="AF54" s="62">
        <f t="shared" ca="1" si="8"/>
        <v>0</v>
      </c>
      <c r="AG54" s="62">
        <f t="shared" ca="1" si="8"/>
        <v>0</v>
      </c>
      <c r="AH54" s="62">
        <f t="shared" ca="1" si="8"/>
        <v>0</v>
      </c>
      <c r="AI54" s="62">
        <f t="shared" ca="1" si="8"/>
        <v>0</v>
      </c>
      <c r="AJ54" s="62">
        <f t="shared" ca="1" si="8"/>
        <v>0</v>
      </c>
      <c r="AK54" s="62">
        <f t="shared" ca="1" si="8"/>
        <v>0</v>
      </c>
      <c r="AL54" s="62">
        <f t="shared" ca="1" si="8"/>
        <v>0</v>
      </c>
      <c r="AM54" s="62">
        <f t="shared" ca="1" si="8"/>
        <v>0</v>
      </c>
      <c r="AN54" s="62">
        <f t="shared" ca="1" si="8"/>
        <v>0</v>
      </c>
      <c r="AR54" s="63"/>
    </row>
    <row r="55" spans="1:44" ht="15.75">
      <c r="A55" s="177"/>
      <c r="B55" s="178"/>
      <c r="C55" s="174"/>
      <c r="D55" s="179"/>
      <c r="E55" s="180"/>
      <c r="F55" s="172"/>
      <c r="G55" s="66">
        <f t="shared" ca="1" si="5"/>
        <v>0</v>
      </c>
      <c r="H55" s="62">
        <f t="shared" ca="1" si="4"/>
        <v>0</v>
      </c>
      <c r="I55" s="27"/>
      <c r="J55" s="62">
        <f t="shared" ca="1" si="9"/>
        <v>0</v>
      </c>
      <c r="K55" s="62">
        <f t="shared" ca="1" si="9"/>
        <v>0</v>
      </c>
      <c r="L55" s="62">
        <f t="shared" ca="1" si="9"/>
        <v>0</v>
      </c>
      <c r="M55" s="62">
        <f t="shared" ca="1" si="9"/>
        <v>0</v>
      </c>
      <c r="N55" s="62">
        <f t="shared" ca="1" si="9"/>
        <v>0</v>
      </c>
      <c r="O55" s="62">
        <f t="shared" ca="1" si="9"/>
        <v>0</v>
      </c>
      <c r="P55" s="62">
        <f t="shared" ca="1" si="9"/>
        <v>0</v>
      </c>
      <c r="Q55" s="62">
        <f t="shared" ca="1" si="9"/>
        <v>0</v>
      </c>
      <c r="R55" s="62">
        <f t="shared" ca="1" si="9"/>
        <v>0</v>
      </c>
      <c r="S55" s="62">
        <f t="shared" ca="1" si="9"/>
        <v>0</v>
      </c>
      <c r="T55" s="62">
        <f t="shared" ca="1" si="9"/>
        <v>0</v>
      </c>
      <c r="U55" s="62">
        <f t="shared" ca="1" si="9"/>
        <v>0</v>
      </c>
      <c r="V55" s="62">
        <f t="shared" ca="1" si="9"/>
        <v>0</v>
      </c>
      <c r="W55" s="62">
        <f t="shared" ca="1" si="9"/>
        <v>0</v>
      </c>
      <c r="X55" s="62">
        <f t="shared" ca="1" si="9"/>
        <v>0</v>
      </c>
      <c r="Y55" s="62">
        <f t="shared" ca="1" si="9"/>
        <v>0</v>
      </c>
      <c r="Z55" s="62">
        <f t="shared" ca="1" si="8"/>
        <v>0</v>
      </c>
      <c r="AA55" s="62">
        <f t="shared" ca="1" si="8"/>
        <v>0</v>
      </c>
      <c r="AB55" s="62">
        <f t="shared" ca="1" si="8"/>
        <v>0</v>
      </c>
      <c r="AC55" s="62">
        <f t="shared" ca="1" si="8"/>
        <v>0</v>
      </c>
      <c r="AD55" s="62">
        <f t="shared" ca="1" si="8"/>
        <v>0</v>
      </c>
      <c r="AE55" s="62">
        <f t="shared" ca="1" si="8"/>
        <v>0</v>
      </c>
      <c r="AF55" s="62">
        <f t="shared" ca="1" si="8"/>
        <v>0</v>
      </c>
      <c r="AG55" s="62">
        <f t="shared" ca="1" si="8"/>
        <v>0</v>
      </c>
      <c r="AH55" s="62">
        <f t="shared" ca="1" si="8"/>
        <v>0</v>
      </c>
      <c r="AI55" s="62">
        <f t="shared" ca="1" si="8"/>
        <v>0</v>
      </c>
      <c r="AJ55" s="62">
        <f t="shared" ca="1" si="8"/>
        <v>0</v>
      </c>
      <c r="AK55" s="62">
        <f t="shared" ca="1" si="8"/>
        <v>0</v>
      </c>
      <c r="AL55" s="62">
        <f t="shared" ca="1" si="8"/>
        <v>0</v>
      </c>
      <c r="AM55" s="62">
        <f t="shared" ca="1" si="8"/>
        <v>0</v>
      </c>
      <c r="AN55" s="62">
        <f t="shared" ca="1" si="8"/>
        <v>0</v>
      </c>
      <c r="AR55" s="63"/>
    </row>
    <row r="56" spans="1:44" ht="15.75">
      <c r="A56" s="177"/>
      <c r="B56" s="178"/>
      <c r="C56" s="174"/>
      <c r="D56" s="179"/>
      <c r="E56" s="180"/>
      <c r="F56" s="172"/>
      <c r="G56" s="66">
        <f t="shared" ca="1" si="5"/>
        <v>0</v>
      </c>
      <c r="H56" s="62">
        <f t="shared" ca="1" si="4"/>
        <v>0</v>
      </c>
      <c r="I56" s="27"/>
      <c r="J56" s="62">
        <f t="shared" ca="1" si="9"/>
        <v>0</v>
      </c>
      <c r="K56" s="62">
        <f t="shared" ca="1" si="9"/>
        <v>0</v>
      </c>
      <c r="L56" s="62">
        <f t="shared" ca="1" si="9"/>
        <v>0</v>
      </c>
      <c r="M56" s="62">
        <f t="shared" ca="1" si="9"/>
        <v>0</v>
      </c>
      <c r="N56" s="62">
        <f t="shared" ca="1" si="9"/>
        <v>0</v>
      </c>
      <c r="O56" s="62">
        <f t="shared" ca="1" si="9"/>
        <v>0</v>
      </c>
      <c r="P56" s="62">
        <f t="shared" ca="1" si="9"/>
        <v>0</v>
      </c>
      <c r="Q56" s="62">
        <f t="shared" ca="1" si="9"/>
        <v>0</v>
      </c>
      <c r="R56" s="62">
        <f t="shared" ca="1" si="9"/>
        <v>0</v>
      </c>
      <c r="S56" s="62">
        <f t="shared" ca="1" si="9"/>
        <v>0</v>
      </c>
      <c r="T56" s="62">
        <f t="shared" ca="1" si="9"/>
        <v>0</v>
      </c>
      <c r="U56" s="62">
        <f t="shared" ca="1" si="9"/>
        <v>0</v>
      </c>
      <c r="V56" s="62">
        <f t="shared" ca="1" si="9"/>
        <v>0</v>
      </c>
      <c r="W56" s="62">
        <f t="shared" ca="1" si="9"/>
        <v>0</v>
      </c>
      <c r="X56" s="62">
        <f t="shared" ca="1" si="9"/>
        <v>0</v>
      </c>
      <c r="Y56" s="62">
        <f t="shared" ca="1" si="9"/>
        <v>0</v>
      </c>
      <c r="Z56" s="62">
        <f t="shared" ca="1" si="8"/>
        <v>0</v>
      </c>
      <c r="AA56" s="62">
        <f t="shared" ca="1" si="8"/>
        <v>0</v>
      </c>
      <c r="AB56" s="62">
        <f t="shared" ca="1" si="8"/>
        <v>0</v>
      </c>
      <c r="AC56" s="62">
        <f t="shared" ca="1" si="8"/>
        <v>0</v>
      </c>
      <c r="AD56" s="62">
        <f t="shared" ca="1" si="8"/>
        <v>0</v>
      </c>
      <c r="AE56" s="62">
        <f t="shared" ca="1" si="8"/>
        <v>0</v>
      </c>
      <c r="AF56" s="62">
        <f t="shared" ca="1" si="8"/>
        <v>0</v>
      </c>
      <c r="AG56" s="62">
        <f t="shared" ca="1" si="8"/>
        <v>0</v>
      </c>
      <c r="AH56" s="62">
        <f t="shared" ca="1" si="8"/>
        <v>0</v>
      </c>
      <c r="AI56" s="62">
        <f t="shared" ca="1" si="8"/>
        <v>0</v>
      </c>
      <c r="AJ56" s="62">
        <f t="shared" ca="1" si="8"/>
        <v>0</v>
      </c>
      <c r="AK56" s="62">
        <f t="shared" ca="1" si="8"/>
        <v>0</v>
      </c>
      <c r="AL56" s="62">
        <f t="shared" ca="1" si="8"/>
        <v>0</v>
      </c>
      <c r="AM56" s="62">
        <f t="shared" ca="1" si="8"/>
        <v>0</v>
      </c>
      <c r="AN56" s="62">
        <f t="shared" ca="1" si="8"/>
        <v>0</v>
      </c>
      <c r="AR56" s="63"/>
    </row>
    <row r="57" spans="1:44" ht="15.75">
      <c r="A57" s="177"/>
      <c r="B57" s="178"/>
      <c r="C57" s="174"/>
      <c r="D57" s="179"/>
      <c r="E57" s="180"/>
      <c r="F57" s="172"/>
      <c r="G57" s="66">
        <f t="shared" ca="1" si="5"/>
        <v>0</v>
      </c>
      <c r="H57" s="62">
        <f t="shared" ca="1" si="4"/>
        <v>0</v>
      </c>
      <c r="I57" s="27"/>
      <c r="J57" s="62">
        <f t="shared" ca="1" si="9"/>
        <v>0</v>
      </c>
      <c r="K57" s="62">
        <f t="shared" ca="1" si="9"/>
        <v>0</v>
      </c>
      <c r="L57" s="62">
        <f t="shared" ca="1" si="9"/>
        <v>0</v>
      </c>
      <c r="M57" s="62">
        <f t="shared" ca="1" si="9"/>
        <v>0</v>
      </c>
      <c r="N57" s="62">
        <f t="shared" ca="1" si="9"/>
        <v>0</v>
      </c>
      <c r="O57" s="62">
        <f t="shared" ca="1" si="9"/>
        <v>0</v>
      </c>
      <c r="P57" s="62">
        <f t="shared" ca="1" si="9"/>
        <v>0</v>
      </c>
      <c r="Q57" s="62">
        <f t="shared" ca="1" si="9"/>
        <v>0</v>
      </c>
      <c r="R57" s="62">
        <f t="shared" ca="1" si="9"/>
        <v>0</v>
      </c>
      <c r="S57" s="62">
        <f t="shared" ca="1" si="9"/>
        <v>0</v>
      </c>
      <c r="T57" s="62">
        <f t="shared" ca="1" si="9"/>
        <v>0</v>
      </c>
      <c r="U57" s="62">
        <f t="shared" ca="1" si="9"/>
        <v>0</v>
      </c>
      <c r="V57" s="62">
        <f t="shared" ca="1" si="9"/>
        <v>0</v>
      </c>
      <c r="W57" s="62">
        <f t="shared" ca="1" si="9"/>
        <v>0</v>
      </c>
      <c r="X57" s="62">
        <f t="shared" ca="1" si="9"/>
        <v>0</v>
      </c>
      <c r="Y57" s="62">
        <f t="shared" ca="1" si="9"/>
        <v>0</v>
      </c>
      <c r="Z57" s="62">
        <f t="shared" ref="Z57:AN72" ca="1" si="10">IF(ABS($E57-Z$9)&lt;0.5,$D57,0)</f>
        <v>0</v>
      </c>
      <c r="AA57" s="62">
        <f t="shared" ca="1" si="10"/>
        <v>0</v>
      </c>
      <c r="AB57" s="62">
        <f t="shared" ca="1" si="10"/>
        <v>0</v>
      </c>
      <c r="AC57" s="62">
        <f t="shared" ca="1" si="10"/>
        <v>0</v>
      </c>
      <c r="AD57" s="62">
        <f t="shared" ca="1" si="10"/>
        <v>0</v>
      </c>
      <c r="AE57" s="62">
        <f t="shared" ca="1" si="10"/>
        <v>0</v>
      </c>
      <c r="AF57" s="62">
        <f t="shared" ca="1" si="10"/>
        <v>0</v>
      </c>
      <c r="AG57" s="62">
        <f t="shared" ca="1" si="10"/>
        <v>0</v>
      </c>
      <c r="AH57" s="62">
        <f t="shared" ca="1" si="10"/>
        <v>0</v>
      </c>
      <c r="AI57" s="62">
        <f t="shared" ca="1" si="10"/>
        <v>0</v>
      </c>
      <c r="AJ57" s="62">
        <f t="shared" ca="1" si="10"/>
        <v>0</v>
      </c>
      <c r="AK57" s="62">
        <f t="shared" ca="1" si="10"/>
        <v>0</v>
      </c>
      <c r="AL57" s="62">
        <f t="shared" ca="1" si="10"/>
        <v>0</v>
      </c>
      <c r="AM57" s="62">
        <f t="shared" ca="1" si="10"/>
        <v>0</v>
      </c>
      <c r="AN57" s="62">
        <f t="shared" ca="1" si="10"/>
        <v>0</v>
      </c>
      <c r="AR57" s="63"/>
    </row>
    <row r="58" spans="1:44" ht="15.75">
      <c r="A58" s="177"/>
      <c r="B58" s="178"/>
      <c r="C58" s="174"/>
      <c r="D58" s="179"/>
      <c r="E58" s="180"/>
      <c r="F58" s="172"/>
      <c r="G58" s="66">
        <f t="shared" ca="1" si="5"/>
        <v>0</v>
      </c>
      <c r="H58" s="62">
        <f t="shared" ca="1" si="4"/>
        <v>0</v>
      </c>
      <c r="I58" s="27"/>
      <c r="J58" s="62">
        <f t="shared" ref="J58:Y73" ca="1" si="11">IF(ABS($E58-J$9)&lt;0.5,$D58,0)</f>
        <v>0</v>
      </c>
      <c r="K58" s="62">
        <f t="shared" ca="1" si="11"/>
        <v>0</v>
      </c>
      <c r="L58" s="62">
        <f t="shared" ca="1" si="11"/>
        <v>0</v>
      </c>
      <c r="M58" s="62">
        <f t="shared" ca="1" si="11"/>
        <v>0</v>
      </c>
      <c r="N58" s="62">
        <f t="shared" ca="1" si="11"/>
        <v>0</v>
      </c>
      <c r="O58" s="62">
        <f t="shared" ca="1" si="11"/>
        <v>0</v>
      </c>
      <c r="P58" s="62">
        <f t="shared" ca="1" si="11"/>
        <v>0</v>
      </c>
      <c r="Q58" s="62">
        <f t="shared" ca="1" si="11"/>
        <v>0</v>
      </c>
      <c r="R58" s="62">
        <f t="shared" ca="1" si="11"/>
        <v>0</v>
      </c>
      <c r="S58" s="62">
        <f t="shared" ca="1" si="11"/>
        <v>0</v>
      </c>
      <c r="T58" s="62">
        <f t="shared" ca="1" si="11"/>
        <v>0</v>
      </c>
      <c r="U58" s="62">
        <f t="shared" ca="1" si="11"/>
        <v>0</v>
      </c>
      <c r="V58" s="62">
        <f t="shared" ca="1" si="11"/>
        <v>0</v>
      </c>
      <c r="W58" s="62">
        <f t="shared" ca="1" si="11"/>
        <v>0</v>
      </c>
      <c r="X58" s="62">
        <f t="shared" ca="1" si="11"/>
        <v>0</v>
      </c>
      <c r="Y58" s="62">
        <f t="shared" ca="1" si="11"/>
        <v>0</v>
      </c>
      <c r="Z58" s="62">
        <f t="shared" ca="1" si="10"/>
        <v>0</v>
      </c>
      <c r="AA58" s="62">
        <f t="shared" ca="1" si="10"/>
        <v>0</v>
      </c>
      <c r="AB58" s="62">
        <f t="shared" ca="1" si="10"/>
        <v>0</v>
      </c>
      <c r="AC58" s="62">
        <f t="shared" ca="1" si="10"/>
        <v>0</v>
      </c>
      <c r="AD58" s="62">
        <f t="shared" ca="1" si="10"/>
        <v>0</v>
      </c>
      <c r="AE58" s="62">
        <f t="shared" ca="1" si="10"/>
        <v>0</v>
      </c>
      <c r="AF58" s="62">
        <f t="shared" ca="1" si="10"/>
        <v>0</v>
      </c>
      <c r="AG58" s="62">
        <f t="shared" ca="1" si="10"/>
        <v>0</v>
      </c>
      <c r="AH58" s="62">
        <f t="shared" ca="1" si="10"/>
        <v>0</v>
      </c>
      <c r="AI58" s="62">
        <f t="shared" ca="1" si="10"/>
        <v>0</v>
      </c>
      <c r="AJ58" s="62">
        <f t="shared" ca="1" si="10"/>
        <v>0</v>
      </c>
      <c r="AK58" s="62">
        <f t="shared" ca="1" si="10"/>
        <v>0</v>
      </c>
      <c r="AL58" s="62">
        <f t="shared" ca="1" si="10"/>
        <v>0</v>
      </c>
      <c r="AM58" s="62">
        <f t="shared" ca="1" si="10"/>
        <v>0</v>
      </c>
      <c r="AN58" s="62">
        <f t="shared" ca="1" si="10"/>
        <v>0</v>
      </c>
      <c r="AR58" s="63"/>
    </row>
    <row r="59" spans="1:44" ht="15.75">
      <c r="A59" s="177"/>
      <c r="B59" s="178"/>
      <c r="C59" s="174"/>
      <c r="D59" s="179"/>
      <c r="E59" s="180"/>
      <c r="F59" s="172"/>
      <c r="G59" s="66">
        <f t="shared" ca="1" si="5"/>
        <v>0</v>
      </c>
      <c r="H59" s="62">
        <f t="shared" ca="1" si="4"/>
        <v>0</v>
      </c>
      <c r="I59" s="27"/>
      <c r="J59" s="62">
        <f t="shared" ca="1" si="11"/>
        <v>0</v>
      </c>
      <c r="K59" s="62">
        <f t="shared" ca="1" si="11"/>
        <v>0</v>
      </c>
      <c r="L59" s="62">
        <f t="shared" ca="1" si="11"/>
        <v>0</v>
      </c>
      <c r="M59" s="62">
        <f t="shared" ca="1" si="11"/>
        <v>0</v>
      </c>
      <c r="N59" s="62">
        <f t="shared" ca="1" si="11"/>
        <v>0</v>
      </c>
      <c r="O59" s="62">
        <f t="shared" ca="1" si="11"/>
        <v>0</v>
      </c>
      <c r="P59" s="62">
        <f t="shared" ca="1" si="11"/>
        <v>0</v>
      </c>
      <c r="Q59" s="62">
        <f t="shared" ca="1" si="11"/>
        <v>0</v>
      </c>
      <c r="R59" s="62">
        <f t="shared" ca="1" si="11"/>
        <v>0</v>
      </c>
      <c r="S59" s="62">
        <f t="shared" ca="1" si="11"/>
        <v>0</v>
      </c>
      <c r="T59" s="62">
        <f t="shared" ca="1" si="11"/>
        <v>0</v>
      </c>
      <c r="U59" s="62">
        <f t="shared" ca="1" si="11"/>
        <v>0</v>
      </c>
      <c r="V59" s="62">
        <f t="shared" ca="1" si="11"/>
        <v>0</v>
      </c>
      <c r="W59" s="62">
        <f t="shared" ca="1" si="11"/>
        <v>0</v>
      </c>
      <c r="X59" s="62">
        <f t="shared" ca="1" si="11"/>
        <v>0</v>
      </c>
      <c r="Y59" s="62">
        <f t="shared" ca="1" si="11"/>
        <v>0</v>
      </c>
      <c r="Z59" s="62">
        <f t="shared" ca="1" si="10"/>
        <v>0</v>
      </c>
      <c r="AA59" s="62">
        <f t="shared" ca="1" si="10"/>
        <v>0</v>
      </c>
      <c r="AB59" s="62">
        <f t="shared" ca="1" si="10"/>
        <v>0</v>
      </c>
      <c r="AC59" s="62">
        <f t="shared" ca="1" si="10"/>
        <v>0</v>
      </c>
      <c r="AD59" s="62">
        <f t="shared" ca="1" si="10"/>
        <v>0</v>
      </c>
      <c r="AE59" s="62">
        <f t="shared" ca="1" si="10"/>
        <v>0</v>
      </c>
      <c r="AF59" s="62">
        <f t="shared" ca="1" si="10"/>
        <v>0</v>
      </c>
      <c r="AG59" s="62">
        <f t="shared" ca="1" si="10"/>
        <v>0</v>
      </c>
      <c r="AH59" s="62">
        <f t="shared" ca="1" si="10"/>
        <v>0</v>
      </c>
      <c r="AI59" s="62">
        <f t="shared" ca="1" si="10"/>
        <v>0</v>
      </c>
      <c r="AJ59" s="62">
        <f t="shared" ca="1" si="10"/>
        <v>0</v>
      </c>
      <c r="AK59" s="62">
        <f t="shared" ca="1" si="10"/>
        <v>0</v>
      </c>
      <c r="AL59" s="62">
        <f t="shared" ca="1" si="10"/>
        <v>0</v>
      </c>
      <c r="AM59" s="62">
        <f t="shared" ca="1" si="10"/>
        <v>0</v>
      </c>
      <c r="AN59" s="62">
        <f t="shared" ca="1" si="10"/>
        <v>0</v>
      </c>
      <c r="AR59" s="63"/>
    </row>
    <row r="60" spans="1:44" ht="15.75">
      <c r="A60" s="177"/>
      <c r="B60" s="178"/>
      <c r="C60" s="174"/>
      <c r="D60" s="179"/>
      <c r="E60" s="180"/>
      <c r="F60" s="172"/>
      <c r="G60" s="66">
        <f t="shared" ca="1" si="5"/>
        <v>0</v>
      </c>
      <c r="H60" s="62">
        <f t="shared" ca="1" si="4"/>
        <v>0</v>
      </c>
      <c r="I60" s="27"/>
      <c r="J60" s="62">
        <f t="shared" ca="1" si="11"/>
        <v>0</v>
      </c>
      <c r="K60" s="62">
        <f t="shared" ca="1" si="11"/>
        <v>0</v>
      </c>
      <c r="L60" s="62">
        <f t="shared" ca="1" si="11"/>
        <v>0</v>
      </c>
      <c r="M60" s="62">
        <f t="shared" ca="1" si="11"/>
        <v>0</v>
      </c>
      <c r="N60" s="62">
        <f t="shared" ca="1" si="11"/>
        <v>0</v>
      </c>
      <c r="O60" s="62">
        <f t="shared" ca="1" si="11"/>
        <v>0</v>
      </c>
      <c r="P60" s="62">
        <f t="shared" ca="1" si="11"/>
        <v>0</v>
      </c>
      <c r="Q60" s="62">
        <f t="shared" ca="1" si="11"/>
        <v>0</v>
      </c>
      <c r="R60" s="62">
        <f t="shared" ca="1" si="11"/>
        <v>0</v>
      </c>
      <c r="S60" s="62">
        <f t="shared" ca="1" si="11"/>
        <v>0</v>
      </c>
      <c r="T60" s="62">
        <f t="shared" ca="1" si="11"/>
        <v>0</v>
      </c>
      <c r="U60" s="62">
        <f t="shared" ca="1" si="11"/>
        <v>0</v>
      </c>
      <c r="V60" s="62">
        <f t="shared" ca="1" si="11"/>
        <v>0</v>
      </c>
      <c r="W60" s="62">
        <f t="shared" ca="1" si="11"/>
        <v>0</v>
      </c>
      <c r="X60" s="62">
        <f t="shared" ca="1" si="11"/>
        <v>0</v>
      </c>
      <c r="Y60" s="62">
        <f t="shared" ca="1" si="11"/>
        <v>0</v>
      </c>
      <c r="Z60" s="62">
        <f t="shared" ca="1" si="10"/>
        <v>0</v>
      </c>
      <c r="AA60" s="62">
        <f t="shared" ca="1" si="10"/>
        <v>0</v>
      </c>
      <c r="AB60" s="62">
        <f t="shared" ca="1" si="10"/>
        <v>0</v>
      </c>
      <c r="AC60" s="62">
        <f t="shared" ca="1" si="10"/>
        <v>0</v>
      </c>
      <c r="AD60" s="62">
        <f t="shared" ca="1" si="10"/>
        <v>0</v>
      </c>
      <c r="AE60" s="62">
        <f t="shared" ca="1" si="10"/>
        <v>0</v>
      </c>
      <c r="AF60" s="62">
        <f t="shared" ca="1" si="10"/>
        <v>0</v>
      </c>
      <c r="AG60" s="62">
        <f t="shared" ca="1" si="10"/>
        <v>0</v>
      </c>
      <c r="AH60" s="62">
        <f t="shared" ca="1" si="10"/>
        <v>0</v>
      </c>
      <c r="AI60" s="62">
        <f t="shared" ca="1" si="10"/>
        <v>0</v>
      </c>
      <c r="AJ60" s="62">
        <f t="shared" ca="1" si="10"/>
        <v>0</v>
      </c>
      <c r="AK60" s="62">
        <f t="shared" ca="1" si="10"/>
        <v>0</v>
      </c>
      <c r="AL60" s="62">
        <f t="shared" ca="1" si="10"/>
        <v>0</v>
      </c>
      <c r="AM60" s="62">
        <f t="shared" ca="1" si="10"/>
        <v>0</v>
      </c>
      <c r="AN60" s="62">
        <f t="shared" ca="1" si="10"/>
        <v>0</v>
      </c>
      <c r="AR60" s="63"/>
    </row>
    <row r="61" spans="1:44" ht="15.75">
      <c r="A61" s="177"/>
      <c r="B61" s="178"/>
      <c r="C61" s="174"/>
      <c r="D61" s="179"/>
      <c r="E61" s="180"/>
      <c r="F61" s="172"/>
      <c r="G61" s="66">
        <f t="shared" ca="1" si="5"/>
        <v>0</v>
      </c>
      <c r="H61" s="62">
        <f t="shared" ca="1" si="4"/>
        <v>0</v>
      </c>
      <c r="I61" s="27"/>
      <c r="J61" s="62">
        <f t="shared" ca="1" si="11"/>
        <v>0</v>
      </c>
      <c r="K61" s="62">
        <f t="shared" ca="1" si="11"/>
        <v>0</v>
      </c>
      <c r="L61" s="62">
        <f t="shared" ca="1" si="11"/>
        <v>0</v>
      </c>
      <c r="M61" s="62">
        <f t="shared" ca="1" si="11"/>
        <v>0</v>
      </c>
      <c r="N61" s="62">
        <f t="shared" ca="1" si="11"/>
        <v>0</v>
      </c>
      <c r="O61" s="62">
        <f t="shared" ca="1" si="11"/>
        <v>0</v>
      </c>
      <c r="P61" s="62">
        <f t="shared" ca="1" si="11"/>
        <v>0</v>
      </c>
      <c r="Q61" s="62">
        <f t="shared" ca="1" si="11"/>
        <v>0</v>
      </c>
      <c r="R61" s="62">
        <f t="shared" ca="1" si="11"/>
        <v>0</v>
      </c>
      <c r="S61" s="62">
        <f t="shared" ca="1" si="11"/>
        <v>0</v>
      </c>
      <c r="T61" s="62">
        <f t="shared" ca="1" si="11"/>
        <v>0</v>
      </c>
      <c r="U61" s="62">
        <f t="shared" ca="1" si="11"/>
        <v>0</v>
      </c>
      <c r="V61" s="62">
        <f t="shared" ca="1" si="11"/>
        <v>0</v>
      </c>
      <c r="W61" s="62">
        <f t="shared" ca="1" si="11"/>
        <v>0</v>
      </c>
      <c r="X61" s="62">
        <f t="shared" ca="1" si="11"/>
        <v>0</v>
      </c>
      <c r="Y61" s="62">
        <f t="shared" ca="1" si="11"/>
        <v>0</v>
      </c>
      <c r="Z61" s="62">
        <f t="shared" ca="1" si="10"/>
        <v>0</v>
      </c>
      <c r="AA61" s="62">
        <f t="shared" ca="1" si="10"/>
        <v>0</v>
      </c>
      <c r="AB61" s="62">
        <f t="shared" ca="1" si="10"/>
        <v>0</v>
      </c>
      <c r="AC61" s="62">
        <f t="shared" ca="1" si="10"/>
        <v>0</v>
      </c>
      <c r="AD61" s="62">
        <f t="shared" ca="1" si="10"/>
        <v>0</v>
      </c>
      <c r="AE61" s="62">
        <f t="shared" ca="1" si="10"/>
        <v>0</v>
      </c>
      <c r="AF61" s="62">
        <f t="shared" ca="1" si="10"/>
        <v>0</v>
      </c>
      <c r="AG61" s="62">
        <f t="shared" ca="1" si="10"/>
        <v>0</v>
      </c>
      <c r="AH61" s="62">
        <f t="shared" ca="1" si="10"/>
        <v>0</v>
      </c>
      <c r="AI61" s="62">
        <f t="shared" ca="1" si="10"/>
        <v>0</v>
      </c>
      <c r="AJ61" s="62">
        <f t="shared" ca="1" si="10"/>
        <v>0</v>
      </c>
      <c r="AK61" s="62">
        <f t="shared" ca="1" si="10"/>
        <v>0</v>
      </c>
      <c r="AL61" s="62">
        <f t="shared" ca="1" si="10"/>
        <v>0</v>
      </c>
      <c r="AM61" s="62">
        <f t="shared" ca="1" si="10"/>
        <v>0</v>
      </c>
      <c r="AN61" s="62">
        <f t="shared" ca="1" si="10"/>
        <v>0</v>
      </c>
      <c r="AR61" s="63"/>
    </row>
    <row r="62" spans="1:44" ht="15.75">
      <c r="A62" s="177"/>
      <c r="B62" s="178"/>
      <c r="C62" s="174"/>
      <c r="D62" s="179"/>
      <c r="E62" s="180"/>
      <c r="F62" s="172"/>
      <c r="G62" s="66">
        <f t="shared" ca="1" si="5"/>
        <v>0</v>
      </c>
      <c r="H62" s="62">
        <f t="shared" ca="1" si="4"/>
        <v>0</v>
      </c>
      <c r="I62" s="27"/>
      <c r="J62" s="62">
        <f t="shared" ca="1" si="11"/>
        <v>0</v>
      </c>
      <c r="K62" s="62">
        <f t="shared" ca="1" si="11"/>
        <v>0</v>
      </c>
      <c r="L62" s="62">
        <f t="shared" ca="1" si="11"/>
        <v>0</v>
      </c>
      <c r="M62" s="62">
        <f t="shared" ca="1" si="11"/>
        <v>0</v>
      </c>
      <c r="N62" s="62">
        <f t="shared" ca="1" si="11"/>
        <v>0</v>
      </c>
      <c r="O62" s="62">
        <f t="shared" ca="1" si="11"/>
        <v>0</v>
      </c>
      <c r="P62" s="62">
        <f t="shared" ca="1" si="11"/>
        <v>0</v>
      </c>
      <c r="Q62" s="62">
        <f t="shared" ca="1" si="11"/>
        <v>0</v>
      </c>
      <c r="R62" s="62">
        <f t="shared" ca="1" si="11"/>
        <v>0</v>
      </c>
      <c r="S62" s="62">
        <f t="shared" ca="1" si="11"/>
        <v>0</v>
      </c>
      <c r="T62" s="62">
        <f t="shared" ca="1" si="11"/>
        <v>0</v>
      </c>
      <c r="U62" s="62">
        <f t="shared" ca="1" si="11"/>
        <v>0</v>
      </c>
      <c r="V62" s="62">
        <f t="shared" ca="1" si="11"/>
        <v>0</v>
      </c>
      <c r="W62" s="62">
        <f t="shared" ca="1" si="11"/>
        <v>0</v>
      </c>
      <c r="X62" s="62">
        <f t="shared" ca="1" si="11"/>
        <v>0</v>
      </c>
      <c r="Y62" s="62">
        <f t="shared" ca="1" si="11"/>
        <v>0</v>
      </c>
      <c r="Z62" s="62">
        <f t="shared" ca="1" si="10"/>
        <v>0</v>
      </c>
      <c r="AA62" s="62">
        <f t="shared" ca="1" si="10"/>
        <v>0</v>
      </c>
      <c r="AB62" s="62">
        <f t="shared" ca="1" si="10"/>
        <v>0</v>
      </c>
      <c r="AC62" s="62">
        <f t="shared" ca="1" si="10"/>
        <v>0</v>
      </c>
      <c r="AD62" s="62">
        <f t="shared" ca="1" si="10"/>
        <v>0</v>
      </c>
      <c r="AE62" s="62">
        <f t="shared" ca="1" si="10"/>
        <v>0</v>
      </c>
      <c r="AF62" s="62">
        <f t="shared" ca="1" si="10"/>
        <v>0</v>
      </c>
      <c r="AG62" s="62">
        <f t="shared" ca="1" si="10"/>
        <v>0</v>
      </c>
      <c r="AH62" s="62">
        <f t="shared" ca="1" si="10"/>
        <v>0</v>
      </c>
      <c r="AI62" s="62">
        <f t="shared" ca="1" si="10"/>
        <v>0</v>
      </c>
      <c r="AJ62" s="62">
        <f t="shared" ca="1" si="10"/>
        <v>0</v>
      </c>
      <c r="AK62" s="62">
        <f t="shared" ca="1" si="10"/>
        <v>0</v>
      </c>
      <c r="AL62" s="62">
        <f t="shared" ca="1" si="10"/>
        <v>0</v>
      </c>
      <c r="AM62" s="62">
        <f t="shared" ca="1" si="10"/>
        <v>0</v>
      </c>
      <c r="AN62" s="62">
        <f t="shared" ca="1" si="10"/>
        <v>0</v>
      </c>
      <c r="AR62" s="63"/>
    </row>
    <row r="63" spans="1:44" ht="15.75">
      <c r="A63" s="177"/>
      <c r="B63" s="178"/>
      <c r="C63" s="174"/>
      <c r="D63" s="179"/>
      <c r="E63" s="180"/>
      <c r="F63" s="172"/>
      <c r="G63" s="66">
        <f t="shared" ca="1" si="5"/>
        <v>0</v>
      </c>
      <c r="H63" s="62">
        <f t="shared" ca="1" si="4"/>
        <v>0</v>
      </c>
      <c r="I63" s="27"/>
      <c r="J63" s="62">
        <f t="shared" ca="1" si="11"/>
        <v>0</v>
      </c>
      <c r="K63" s="62">
        <f t="shared" ca="1" si="11"/>
        <v>0</v>
      </c>
      <c r="L63" s="62">
        <f t="shared" ca="1" si="11"/>
        <v>0</v>
      </c>
      <c r="M63" s="62">
        <f t="shared" ca="1" si="11"/>
        <v>0</v>
      </c>
      <c r="N63" s="62">
        <f t="shared" ca="1" si="11"/>
        <v>0</v>
      </c>
      <c r="O63" s="62">
        <f t="shared" ca="1" si="11"/>
        <v>0</v>
      </c>
      <c r="P63" s="62">
        <f t="shared" ca="1" si="11"/>
        <v>0</v>
      </c>
      <c r="Q63" s="62">
        <f t="shared" ca="1" si="11"/>
        <v>0</v>
      </c>
      <c r="R63" s="62">
        <f t="shared" ca="1" si="11"/>
        <v>0</v>
      </c>
      <c r="S63" s="62">
        <f t="shared" ca="1" si="11"/>
        <v>0</v>
      </c>
      <c r="T63" s="62">
        <f t="shared" ca="1" si="11"/>
        <v>0</v>
      </c>
      <c r="U63" s="62">
        <f t="shared" ca="1" si="11"/>
        <v>0</v>
      </c>
      <c r="V63" s="62">
        <f t="shared" ca="1" si="11"/>
        <v>0</v>
      </c>
      <c r="W63" s="62">
        <f t="shared" ca="1" si="11"/>
        <v>0</v>
      </c>
      <c r="X63" s="62">
        <f t="shared" ca="1" si="11"/>
        <v>0</v>
      </c>
      <c r="Y63" s="62">
        <f t="shared" ca="1" si="11"/>
        <v>0</v>
      </c>
      <c r="Z63" s="62">
        <f t="shared" ca="1" si="10"/>
        <v>0</v>
      </c>
      <c r="AA63" s="62">
        <f t="shared" ca="1" si="10"/>
        <v>0</v>
      </c>
      <c r="AB63" s="62">
        <f t="shared" ca="1" si="10"/>
        <v>0</v>
      </c>
      <c r="AC63" s="62">
        <f t="shared" ca="1" si="10"/>
        <v>0</v>
      </c>
      <c r="AD63" s="62">
        <f t="shared" ca="1" si="10"/>
        <v>0</v>
      </c>
      <c r="AE63" s="62">
        <f t="shared" ca="1" si="10"/>
        <v>0</v>
      </c>
      <c r="AF63" s="62">
        <f t="shared" ca="1" si="10"/>
        <v>0</v>
      </c>
      <c r="AG63" s="62">
        <f t="shared" ca="1" si="10"/>
        <v>0</v>
      </c>
      <c r="AH63" s="62">
        <f t="shared" ca="1" si="10"/>
        <v>0</v>
      </c>
      <c r="AI63" s="62">
        <f t="shared" ca="1" si="10"/>
        <v>0</v>
      </c>
      <c r="AJ63" s="62">
        <f t="shared" ca="1" si="10"/>
        <v>0</v>
      </c>
      <c r="AK63" s="62">
        <f t="shared" ca="1" si="10"/>
        <v>0</v>
      </c>
      <c r="AL63" s="62">
        <f t="shared" ca="1" si="10"/>
        <v>0</v>
      </c>
      <c r="AM63" s="62">
        <f t="shared" ca="1" si="10"/>
        <v>0</v>
      </c>
      <c r="AN63" s="62">
        <f t="shared" ca="1" si="10"/>
        <v>0</v>
      </c>
      <c r="AR63" s="63"/>
    </row>
    <row r="64" spans="1:44" ht="15.75">
      <c r="A64" s="177"/>
      <c r="B64" s="178"/>
      <c r="C64" s="174"/>
      <c r="D64" s="179"/>
      <c r="E64" s="180"/>
      <c r="F64" s="172"/>
      <c r="G64" s="66">
        <f t="shared" ca="1" si="5"/>
        <v>0</v>
      </c>
      <c r="H64" s="62">
        <f t="shared" ca="1" si="4"/>
        <v>0</v>
      </c>
      <c r="I64" s="27"/>
      <c r="J64" s="62">
        <f t="shared" ca="1" si="11"/>
        <v>0</v>
      </c>
      <c r="K64" s="62">
        <f t="shared" ca="1" si="11"/>
        <v>0</v>
      </c>
      <c r="L64" s="62">
        <f t="shared" ca="1" si="11"/>
        <v>0</v>
      </c>
      <c r="M64" s="62">
        <f t="shared" ca="1" si="11"/>
        <v>0</v>
      </c>
      <c r="N64" s="62">
        <f t="shared" ca="1" si="11"/>
        <v>0</v>
      </c>
      <c r="O64" s="62">
        <f t="shared" ca="1" si="11"/>
        <v>0</v>
      </c>
      <c r="P64" s="62">
        <f t="shared" ca="1" si="11"/>
        <v>0</v>
      </c>
      <c r="Q64" s="62">
        <f t="shared" ca="1" si="11"/>
        <v>0</v>
      </c>
      <c r="R64" s="62">
        <f t="shared" ca="1" si="11"/>
        <v>0</v>
      </c>
      <c r="S64" s="62">
        <f t="shared" ca="1" si="11"/>
        <v>0</v>
      </c>
      <c r="T64" s="62">
        <f t="shared" ca="1" si="11"/>
        <v>0</v>
      </c>
      <c r="U64" s="62">
        <f t="shared" ca="1" si="11"/>
        <v>0</v>
      </c>
      <c r="V64" s="62">
        <f t="shared" ca="1" si="11"/>
        <v>0</v>
      </c>
      <c r="W64" s="62">
        <f t="shared" ca="1" si="11"/>
        <v>0</v>
      </c>
      <c r="X64" s="62">
        <f t="shared" ca="1" si="11"/>
        <v>0</v>
      </c>
      <c r="Y64" s="62">
        <f t="shared" ca="1" si="11"/>
        <v>0</v>
      </c>
      <c r="Z64" s="62">
        <f t="shared" ca="1" si="10"/>
        <v>0</v>
      </c>
      <c r="AA64" s="62">
        <f t="shared" ca="1" si="10"/>
        <v>0</v>
      </c>
      <c r="AB64" s="62">
        <f t="shared" ca="1" si="10"/>
        <v>0</v>
      </c>
      <c r="AC64" s="62">
        <f t="shared" ca="1" si="10"/>
        <v>0</v>
      </c>
      <c r="AD64" s="62">
        <f t="shared" ca="1" si="10"/>
        <v>0</v>
      </c>
      <c r="AE64" s="62">
        <f t="shared" ca="1" si="10"/>
        <v>0</v>
      </c>
      <c r="AF64" s="62">
        <f t="shared" ca="1" si="10"/>
        <v>0</v>
      </c>
      <c r="AG64" s="62">
        <f t="shared" ca="1" si="10"/>
        <v>0</v>
      </c>
      <c r="AH64" s="62">
        <f t="shared" ca="1" si="10"/>
        <v>0</v>
      </c>
      <c r="AI64" s="62">
        <f t="shared" ca="1" si="10"/>
        <v>0</v>
      </c>
      <c r="AJ64" s="62">
        <f t="shared" ca="1" si="10"/>
        <v>0</v>
      </c>
      <c r="AK64" s="62">
        <f t="shared" ca="1" si="10"/>
        <v>0</v>
      </c>
      <c r="AL64" s="62">
        <f t="shared" ca="1" si="10"/>
        <v>0</v>
      </c>
      <c r="AM64" s="62">
        <f t="shared" ca="1" si="10"/>
        <v>0</v>
      </c>
      <c r="AN64" s="62">
        <f t="shared" ca="1" si="10"/>
        <v>0</v>
      </c>
      <c r="AR64" s="63"/>
    </row>
    <row r="65" spans="1:44" ht="15.75">
      <c r="A65" s="177"/>
      <c r="B65" s="178"/>
      <c r="C65" s="174"/>
      <c r="D65" s="179"/>
      <c r="E65" s="180"/>
      <c r="F65" s="172"/>
      <c r="G65" s="66">
        <f t="shared" ca="1" si="5"/>
        <v>0</v>
      </c>
      <c r="H65" s="62">
        <f t="shared" ca="1" si="4"/>
        <v>0</v>
      </c>
      <c r="I65" s="27"/>
      <c r="J65" s="62">
        <f t="shared" ca="1" si="11"/>
        <v>0</v>
      </c>
      <c r="K65" s="62">
        <f t="shared" ca="1" si="11"/>
        <v>0</v>
      </c>
      <c r="L65" s="62">
        <f t="shared" ca="1" si="11"/>
        <v>0</v>
      </c>
      <c r="M65" s="62">
        <f t="shared" ca="1" si="11"/>
        <v>0</v>
      </c>
      <c r="N65" s="62">
        <f t="shared" ca="1" si="11"/>
        <v>0</v>
      </c>
      <c r="O65" s="62">
        <f t="shared" ca="1" si="11"/>
        <v>0</v>
      </c>
      <c r="P65" s="62">
        <f t="shared" ca="1" si="11"/>
        <v>0</v>
      </c>
      <c r="Q65" s="62">
        <f t="shared" ca="1" si="11"/>
        <v>0</v>
      </c>
      <c r="R65" s="62">
        <f t="shared" ca="1" si="11"/>
        <v>0</v>
      </c>
      <c r="S65" s="62">
        <f t="shared" ca="1" si="11"/>
        <v>0</v>
      </c>
      <c r="T65" s="62">
        <f t="shared" ca="1" si="11"/>
        <v>0</v>
      </c>
      <c r="U65" s="62">
        <f t="shared" ca="1" si="11"/>
        <v>0</v>
      </c>
      <c r="V65" s="62">
        <f t="shared" ca="1" si="11"/>
        <v>0</v>
      </c>
      <c r="W65" s="62">
        <f t="shared" ca="1" si="11"/>
        <v>0</v>
      </c>
      <c r="X65" s="62">
        <f t="shared" ca="1" si="11"/>
        <v>0</v>
      </c>
      <c r="Y65" s="62">
        <f t="shared" ca="1" si="11"/>
        <v>0</v>
      </c>
      <c r="Z65" s="62">
        <f t="shared" ca="1" si="10"/>
        <v>0</v>
      </c>
      <c r="AA65" s="62">
        <f t="shared" ca="1" si="10"/>
        <v>0</v>
      </c>
      <c r="AB65" s="62">
        <f t="shared" ca="1" si="10"/>
        <v>0</v>
      </c>
      <c r="AC65" s="62">
        <f t="shared" ca="1" si="10"/>
        <v>0</v>
      </c>
      <c r="AD65" s="62">
        <f t="shared" ca="1" si="10"/>
        <v>0</v>
      </c>
      <c r="AE65" s="62">
        <f t="shared" ca="1" si="10"/>
        <v>0</v>
      </c>
      <c r="AF65" s="62">
        <f t="shared" ca="1" si="10"/>
        <v>0</v>
      </c>
      <c r="AG65" s="62">
        <f t="shared" ca="1" si="10"/>
        <v>0</v>
      </c>
      <c r="AH65" s="62">
        <f t="shared" ca="1" si="10"/>
        <v>0</v>
      </c>
      <c r="AI65" s="62">
        <f t="shared" ca="1" si="10"/>
        <v>0</v>
      </c>
      <c r="AJ65" s="62">
        <f t="shared" ca="1" si="10"/>
        <v>0</v>
      </c>
      <c r="AK65" s="62">
        <f t="shared" ca="1" si="10"/>
        <v>0</v>
      </c>
      <c r="AL65" s="62">
        <f t="shared" ca="1" si="10"/>
        <v>0</v>
      </c>
      <c r="AM65" s="62">
        <f t="shared" ca="1" si="10"/>
        <v>0</v>
      </c>
      <c r="AN65" s="62">
        <f t="shared" ca="1" si="10"/>
        <v>0</v>
      </c>
      <c r="AR65" s="63"/>
    </row>
    <row r="66" spans="1:44" ht="15.75">
      <c r="A66" s="177"/>
      <c r="B66" s="178"/>
      <c r="C66" s="174"/>
      <c r="D66" s="179"/>
      <c r="E66" s="180"/>
      <c r="F66" s="172"/>
      <c r="G66" s="66">
        <f t="shared" ca="1" si="5"/>
        <v>0</v>
      </c>
      <c r="H66" s="62">
        <f t="shared" ca="1" si="4"/>
        <v>0</v>
      </c>
      <c r="I66" s="27"/>
      <c r="J66" s="62">
        <f t="shared" ca="1" si="11"/>
        <v>0</v>
      </c>
      <c r="K66" s="62">
        <f t="shared" ca="1" si="11"/>
        <v>0</v>
      </c>
      <c r="L66" s="62">
        <f t="shared" ca="1" si="11"/>
        <v>0</v>
      </c>
      <c r="M66" s="62">
        <f t="shared" ca="1" si="11"/>
        <v>0</v>
      </c>
      <c r="N66" s="62">
        <f t="shared" ca="1" si="11"/>
        <v>0</v>
      </c>
      <c r="O66" s="62">
        <f t="shared" ca="1" si="11"/>
        <v>0</v>
      </c>
      <c r="P66" s="62">
        <f t="shared" ca="1" si="11"/>
        <v>0</v>
      </c>
      <c r="Q66" s="62">
        <f t="shared" ca="1" si="11"/>
        <v>0</v>
      </c>
      <c r="R66" s="62">
        <f t="shared" ca="1" si="11"/>
        <v>0</v>
      </c>
      <c r="S66" s="62">
        <f t="shared" ca="1" si="11"/>
        <v>0</v>
      </c>
      <c r="T66" s="62">
        <f t="shared" ca="1" si="11"/>
        <v>0</v>
      </c>
      <c r="U66" s="62">
        <f t="shared" ca="1" si="11"/>
        <v>0</v>
      </c>
      <c r="V66" s="62">
        <f t="shared" ca="1" si="11"/>
        <v>0</v>
      </c>
      <c r="W66" s="62">
        <f t="shared" ca="1" si="11"/>
        <v>0</v>
      </c>
      <c r="X66" s="62">
        <f t="shared" ca="1" si="11"/>
        <v>0</v>
      </c>
      <c r="Y66" s="62">
        <f t="shared" ca="1" si="11"/>
        <v>0</v>
      </c>
      <c r="Z66" s="62">
        <f t="shared" ca="1" si="10"/>
        <v>0</v>
      </c>
      <c r="AA66" s="62">
        <f t="shared" ca="1" si="10"/>
        <v>0</v>
      </c>
      <c r="AB66" s="62">
        <f t="shared" ca="1" si="10"/>
        <v>0</v>
      </c>
      <c r="AC66" s="62">
        <f t="shared" ca="1" si="10"/>
        <v>0</v>
      </c>
      <c r="AD66" s="62">
        <f t="shared" ca="1" si="10"/>
        <v>0</v>
      </c>
      <c r="AE66" s="62">
        <f t="shared" ca="1" si="10"/>
        <v>0</v>
      </c>
      <c r="AF66" s="62">
        <f t="shared" ca="1" si="10"/>
        <v>0</v>
      </c>
      <c r="AG66" s="62">
        <f t="shared" ca="1" si="10"/>
        <v>0</v>
      </c>
      <c r="AH66" s="62">
        <f t="shared" ca="1" si="10"/>
        <v>0</v>
      </c>
      <c r="AI66" s="62">
        <f t="shared" ca="1" si="10"/>
        <v>0</v>
      </c>
      <c r="AJ66" s="62">
        <f t="shared" ca="1" si="10"/>
        <v>0</v>
      </c>
      <c r="AK66" s="62">
        <f t="shared" ca="1" si="10"/>
        <v>0</v>
      </c>
      <c r="AL66" s="62">
        <f t="shared" ca="1" si="10"/>
        <v>0</v>
      </c>
      <c r="AM66" s="62">
        <f t="shared" ca="1" si="10"/>
        <v>0</v>
      </c>
      <c r="AN66" s="62">
        <f t="shared" ca="1" si="10"/>
        <v>0</v>
      </c>
      <c r="AR66" s="63"/>
    </row>
    <row r="67" spans="1:44" ht="15.75">
      <c r="A67" s="177"/>
      <c r="B67" s="178"/>
      <c r="C67" s="174"/>
      <c r="D67" s="179"/>
      <c r="E67" s="180"/>
      <c r="F67" s="172"/>
      <c r="G67" s="66">
        <f t="shared" ca="1" si="5"/>
        <v>0</v>
      </c>
      <c r="H67" s="62">
        <f t="shared" ca="1" si="4"/>
        <v>0</v>
      </c>
      <c r="I67" s="27"/>
      <c r="J67" s="62">
        <f t="shared" ca="1" si="11"/>
        <v>0</v>
      </c>
      <c r="K67" s="62">
        <f t="shared" ca="1" si="11"/>
        <v>0</v>
      </c>
      <c r="L67" s="62">
        <f t="shared" ca="1" si="11"/>
        <v>0</v>
      </c>
      <c r="M67" s="62">
        <f t="shared" ca="1" si="11"/>
        <v>0</v>
      </c>
      <c r="N67" s="62">
        <f t="shared" ca="1" si="11"/>
        <v>0</v>
      </c>
      <c r="O67" s="62">
        <f t="shared" ca="1" si="11"/>
        <v>0</v>
      </c>
      <c r="P67" s="62">
        <f t="shared" ca="1" si="11"/>
        <v>0</v>
      </c>
      <c r="Q67" s="62">
        <f t="shared" ca="1" si="11"/>
        <v>0</v>
      </c>
      <c r="R67" s="62">
        <f t="shared" ca="1" si="11"/>
        <v>0</v>
      </c>
      <c r="S67" s="62">
        <f t="shared" ca="1" si="11"/>
        <v>0</v>
      </c>
      <c r="T67" s="62">
        <f t="shared" ca="1" si="11"/>
        <v>0</v>
      </c>
      <c r="U67" s="62">
        <f t="shared" ca="1" si="11"/>
        <v>0</v>
      </c>
      <c r="V67" s="62">
        <f t="shared" ca="1" si="11"/>
        <v>0</v>
      </c>
      <c r="W67" s="62">
        <f t="shared" ca="1" si="11"/>
        <v>0</v>
      </c>
      <c r="X67" s="62">
        <f t="shared" ca="1" si="11"/>
        <v>0</v>
      </c>
      <c r="Y67" s="62">
        <f t="shared" ca="1" si="11"/>
        <v>0</v>
      </c>
      <c r="Z67" s="62">
        <f t="shared" ca="1" si="10"/>
        <v>0</v>
      </c>
      <c r="AA67" s="62">
        <f t="shared" ca="1" si="10"/>
        <v>0</v>
      </c>
      <c r="AB67" s="62">
        <f t="shared" ca="1" si="10"/>
        <v>0</v>
      </c>
      <c r="AC67" s="62">
        <f t="shared" ca="1" si="10"/>
        <v>0</v>
      </c>
      <c r="AD67" s="62">
        <f t="shared" ca="1" si="10"/>
        <v>0</v>
      </c>
      <c r="AE67" s="62">
        <f t="shared" ca="1" si="10"/>
        <v>0</v>
      </c>
      <c r="AF67" s="62">
        <f t="shared" ca="1" si="10"/>
        <v>0</v>
      </c>
      <c r="AG67" s="62">
        <f t="shared" ca="1" si="10"/>
        <v>0</v>
      </c>
      <c r="AH67" s="62">
        <f t="shared" ca="1" si="10"/>
        <v>0</v>
      </c>
      <c r="AI67" s="62">
        <f t="shared" ca="1" si="10"/>
        <v>0</v>
      </c>
      <c r="AJ67" s="62">
        <f t="shared" ca="1" si="10"/>
        <v>0</v>
      </c>
      <c r="AK67" s="62">
        <f t="shared" ca="1" si="10"/>
        <v>0</v>
      </c>
      <c r="AL67" s="62">
        <f t="shared" ca="1" si="10"/>
        <v>0</v>
      </c>
      <c r="AM67" s="62">
        <f t="shared" ca="1" si="10"/>
        <v>0</v>
      </c>
      <c r="AN67" s="62">
        <f t="shared" ca="1" si="10"/>
        <v>0</v>
      </c>
      <c r="AR67" s="63"/>
    </row>
    <row r="68" spans="1:44" ht="15.75">
      <c r="A68" s="177"/>
      <c r="B68" s="178"/>
      <c r="C68" s="174"/>
      <c r="D68" s="179"/>
      <c r="E68" s="180"/>
      <c r="F68" s="172"/>
      <c r="G68" s="66">
        <f t="shared" ca="1" si="5"/>
        <v>0</v>
      </c>
      <c r="H68" s="62">
        <f t="shared" ca="1" si="4"/>
        <v>0</v>
      </c>
      <c r="I68" s="27"/>
      <c r="J68" s="62">
        <f t="shared" ca="1" si="11"/>
        <v>0</v>
      </c>
      <c r="K68" s="62">
        <f t="shared" ca="1" si="11"/>
        <v>0</v>
      </c>
      <c r="L68" s="62">
        <f t="shared" ca="1" si="11"/>
        <v>0</v>
      </c>
      <c r="M68" s="62">
        <f t="shared" ca="1" si="11"/>
        <v>0</v>
      </c>
      <c r="N68" s="62">
        <f t="shared" ca="1" si="11"/>
        <v>0</v>
      </c>
      <c r="O68" s="62">
        <f t="shared" ca="1" si="11"/>
        <v>0</v>
      </c>
      <c r="P68" s="62">
        <f t="shared" ca="1" si="11"/>
        <v>0</v>
      </c>
      <c r="Q68" s="62">
        <f t="shared" ca="1" si="11"/>
        <v>0</v>
      </c>
      <c r="R68" s="62">
        <f t="shared" ca="1" si="11"/>
        <v>0</v>
      </c>
      <c r="S68" s="62">
        <f t="shared" ca="1" si="11"/>
        <v>0</v>
      </c>
      <c r="T68" s="62">
        <f t="shared" ca="1" si="11"/>
        <v>0</v>
      </c>
      <c r="U68" s="62">
        <f t="shared" ca="1" si="11"/>
        <v>0</v>
      </c>
      <c r="V68" s="62">
        <f t="shared" ca="1" si="11"/>
        <v>0</v>
      </c>
      <c r="W68" s="62">
        <f t="shared" ca="1" si="11"/>
        <v>0</v>
      </c>
      <c r="X68" s="62">
        <f t="shared" ca="1" si="11"/>
        <v>0</v>
      </c>
      <c r="Y68" s="62">
        <f t="shared" ca="1" si="11"/>
        <v>0</v>
      </c>
      <c r="Z68" s="62">
        <f t="shared" ca="1" si="10"/>
        <v>0</v>
      </c>
      <c r="AA68" s="62">
        <f t="shared" ca="1" si="10"/>
        <v>0</v>
      </c>
      <c r="AB68" s="62">
        <f t="shared" ca="1" si="10"/>
        <v>0</v>
      </c>
      <c r="AC68" s="62">
        <f t="shared" ca="1" si="10"/>
        <v>0</v>
      </c>
      <c r="AD68" s="62">
        <f t="shared" ca="1" si="10"/>
        <v>0</v>
      </c>
      <c r="AE68" s="62">
        <f t="shared" ca="1" si="10"/>
        <v>0</v>
      </c>
      <c r="AF68" s="62">
        <f t="shared" ca="1" si="10"/>
        <v>0</v>
      </c>
      <c r="AG68" s="62">
        <f t="shared" ca="1" si="10"/>
        <v>0</v>
      </c>
      <c r="AH68" s="62">
        <f t="shared" ca="1" si="10"/>
        <v>0</v>
      </c>
      <c r="AI68" s="62">
        <f t="shared" ca="1" si="10"/>
        <v>0</v>
      </c>
      <c r="AJ68" s="62">
        <f t="shared" ca="1" si="10"/>
        <v>0</v>
      </c>
      <c r="AK68" s="62">
        <f t="shared" ca="1" si="10"/>
        <v>0</v>
      </c>
      <c r="AL68" s="62">
        <f t="shared" ca="1" si="10"/>
        <v>0</v>
      </c>
      <c r="AM68" s="62">
        <f t="shared" ca="1" si="10"/>
        <v>0</v>
      </c>
      <c r="AN68" s="62">
        <f t="shared" ca="1" si="10"/>
        <v>0</v>
      </c>
      <c r="AR68" s="63"/>
    </row>
    <row r="69" spans="1:44" ht="15.75">
      <c r="A69" s="177"/>
      <c r="B69" s="178"/>
      <c r="C69" s="174"/>
      <c r="D69" s="179"/>
      <c r="E69" s="180"/>
      <c r="F69" s="172"/>
      <c r="G69" s="66">
        <f t="shared" ca="1" si="5"/>
        <v>0</v>
      </c>
      <c r="H69" s="62">
        <f t="shared" ca="1" si="4"/>
        <v>0</v>
      </c>
      <c r="I69" s="27"/>
      <c r="J69" s="62">
        <f t="shared" ca="1" si="11"/>
        <v>0</v>
      </c>
      <c r="K69" s="62">
        <f t="shared" ca="1" si="11"/>
        <v>0</v>
      </c>
      <c r="L69" s="62">
        <f t="shared" ca="1" si="11"/>
        <v>0</v>
      </c>
      <c r="M69" s="62">
        <f t="shared" ca="1" si="11"/>
        <v>0</v>
      </c>
      <c r="N69" s="62">
        <f t="shared" ca="1" si="11"/>
        <v>0</v>
      </c>
      <c r="O69" s="62">
        <f t="shared" ca="1" si="11"/>
        <v>0</v>
      </c>
      <c r="P69" s="62">
        <f t="shared" ca="1" si="11"/>
        <v>0</v>
      </c>
      <c r="Q69" s="62">
        <f t="shared" ca="1" si="11"/>
        <v>0</v>
      </c>
      <c r="R69" s="62">
        <f t="shared" ca="1" si="11"/>
        <v>0</v>
      </c>
      <c r="S69" s="62">
        <f t="shared" ca="1" si="11"/>
        <v>0</v>
      </c>
      <c r="T69" s="62">
        <f t="shared" ca="1" si="11"/>
        <v>0</v>
      </c>
      <c r="U69" s="62">
        <f t="shared" ca="1" si="11"/>
        <v>0</v>
      </c>
      <c r="V69" s="62">
        <f t="shared" ca="1" si="11"/>
        <v>0</v>
      </c>
      <c r="W69" s="62">
        <f t="shared" ca="1" si="11"/>
        <v>0</v>
      </c>
      <c r="X69" s="62">
        <f t="shared" ca="1" si="11"/>
        <v>0</v>
      </c>
      <c r="Y69" s="62">
        <f t="shared" ca="1" si="11"/>
        <v>0</v>
      </c>
      <c r="Z69" s="62">
        <f t="shared" ca="1" si="10"/>
        <v>0</v>
      </c>
      <c r="AA69" s="62">
        <f t="shared" ca="1" si="10"/>
        <v>0</v>
      </c>
      <c r="AB69" s="62">
        <f t="shared" ca="1" si="10"/>
        <v>0</v>
      </c>
      <c r="AC69" s="62">
        <f t="shared" ca="1" si="10"/>
        <v>0</v>
      </c>
      <c r="AD69" s="62">
        <f t="shared" ca="1" si="10"/>
        <v>0</v>
      </c>
      <c r="AE69" s="62">
        <f t="shared" ca="1" si="10"/>
        <v>0</v>
      </c>
      <c r="AF69" s="62">
        <f t="shared" ca="1" si="10"/>
        <v>0</v>
      </c>
      <c r="AG69" s="62">
        <f t="shared" ca="1" si="10"/>
        <v>0</v>
      </c>
      <c r="AH69" s="62">
        <f t="shared" ca="1" si="10"/>
        <v>0</v>
      </c>
      <c r="AI69" s="62">
        <f t="shared" ca="1" si="10"/>
        <v>0</v>
      </c>
      <c r="AJ69" s="62">
        <f t="shared" ca="1" si="10"/>
        <v>0</v>
      </c>
      <c r="AK69" s="62">
        <f t="shared" ca="1" si="10"/>
        <v>0</v>
      </c>
      <c r="AL69" s="62">
        <f t="shared" ca="1" si="10"/>
        <v>0</v>
      </c>
      <c r="AM69" s="62">
        <f t="shared" ca="1" si="10"/>
        <v>0</v>
      </c>
      <c r="AN69" s="62">
        <f t="shared" ca="1" si="10"/>
        <v>0</v>
      </c>
      <c r="AR69" s="63"/>
    </row>
    <row r="70" spans="1:44" ht="15.75">
      <c r="A70" s="177"/>
      <c r="B70" s="178"/>
      <c r="C70" s="174"/>
      <c r="D70" s="179"/>
      <c r="E70" s="180"/>
      <c r="F70" s="172"/>
      <c r="G70" s="66">
        <f t="shared" ca="1" si="5"/>
        <v>0</v>
      </c>
      <c r="H70" s="62">
        <f t="shared" ca="1" si="4"/>
        <v>0</v>
      </c>
      <c r="I70" s="27"/>
      <c r="J70" s="62">
        <f t="shared" ca="1" si="11"/>
        <v>0</v>
      </c>
      <c r="K70" s="62">
        <f t="shared" ca="1" si="11"/>
        <v>0</v>
      </c>
      <c r="L70" s="62">
        <f t="shared" ca="1" si="11"/>
        <v>0</v>
      </c>
      <c r="M70" s="62">
        <f t="shared" ca="1" si="11"/>
        <v>0</v>
      </c>
      <c r="N70" s="62">
        <f t="shared" ca="1" si="11"/>
        <v>0</v>
      </c>
      <c r="O70" s="62">
        <f t="shared" ca="1" si="11"/>
        <v>0</v>
      </c>
      <c r="P70" s="62">
        <f t="shared" ca="1" si="11"/>
        <v>0</v>
      </c>
      <c r="Q70" s="62">
        <f t="shared" ca="1" si="11"/>
        <v>0</v>
      </c>
      <c r="R70" s="62">
        <f t="shared" ca="1" si="11"/>
        <v>0</v>
      </c>
      <c r="S70" s="62">
        <f t="shared" ca="1" si="11"/>
        <v>0</v>
      </c>
      <c r="T70" s="62">
        <f t="shared" ca="1" si="11"/>
        <v>0</v>
      </c>
      <c r="U70" s="62">
        <f t="shared" ca="1" si="11"/>
        <v>0</v>
      </c>
      <c r="V70" s="62">
        <f t="shared" ca="1" si="11"/>
        <v>0</v>
      </c>
      <c r="W70" s="62">
        <f t="shared" ca="1" si="11"/>
        <v>0</v>
      </c>
      <c r="X70" s="62">
        <f t="shared" ca="1" si="11"/>
        <v>0</v>
      </c>
      <c r="Y70" s="62">
        <f t="shared" ca="1" si="11"/>
        <v>0</v>
      </c>
      <c r="Z70" s="62">
        <f t="shared" ca="1" si="10"/>
        <v>0</v>
      </c>
      <c r="AA70" s="62">
        <f t="shared" ca="1" si="10"/>
        <v>0</v>
      </c>
      <c r="AB70" s="62">
        <f t="shared" ca="1" si="10"/>
        <v>0</v>
      </c>
      <c r="AC70" s="62">
        <f t="shared" ca="1" si="10"/>
        <v>0</v>
      </c>
      <c r="AD70" s="62">
        <f t="shared" ca="1" si="10"/>
        <v>0</v>
      </c>
      <c r="AE70" s="62">
        <f t="shared" ca="1" si="10"/>
        <v>0</v>
      </c>
      <c r="AF70" s="62">
        <f t="shared" ca="1" si="10"/>
        <v>0</v>
      </c>
      <c r="AG70" s="62">
        <f t="shared" ca="1" si="10"/>
        <v>0</v>
      </c>
      <c r="AH70" s="62">
        <f t="shared" ca="1" si="10"/>
        <v>0</v>
      </c>
      <c r="AI70" s="62">
        <f t="shared" ca="1" si="10"/>
        <v>0</v>
      </c>
      <c r="AJ70" s="62">
        <f t="shared" ca="1" si="10"/>
        <v>0</v>
      </c>
      <c r="AK70" s="62">
        <f t="shared" ca="1" si="10"/>
        <v>0</v>
      </c>
      <c r="AL70" s="62">
        <f t="shared" ca="1" si="10"/>
        <v>0</v>
      </c>
      <c r="AM70" s="62">
        <f t="shared" ca="1" si="10"/>
        <v>0</v>
      </c>
      <c r="AN70" s="62">
        <f t="shared" ca="1" si="10"/>
        <v>0</v>
      </c>
      <c r="AR70" s="63"/>
    </row>
    <row r="71" spans="1:44" ht="15.75">
      <c r="A71" s="177"/>
      <c r="B71" s="178"/>
      <c r="C71" s="174"/>
      <c r="D71" s="179"/>
      <c r="E71" s="180"/>
      <c r="F71" s="172"/>
      <c r="G71" s="66">
        <f t="shared" ca="1" si="5"/>
        <v>0</v>
      </c>
      <c r="H71" s="62">
        <f t="shared" ca="1" si="4"/>
        <v>0</v>
      </c>
      <c r="I71" s="27"/>
      <c r="J71" s="62">
        <f t="shared" ca="1" si="11"/>
        <v>0</v>
      </c>
      <c r="K71" s="62">
        <f t="shared" ca="1" si="11"/>
        <v>0</v>
      </c>
      <c r="L71" s="62">
        <f t="shared" ca="1" si="11"/>
        <v>0</v>
      </c>
      <c r="M71" s="62">
        <f t="shared" ca="1" si="11"/>
        <v>0</v>
      </c>
      <c r="N71" s="62">
        <f t="shared" ca="1" si="11"/>
        <v>0</v>
      </c>
      <c r="O71" s="62">
        <f t="shared" ca="1" si="11"/>
        <v>0</v>
      </c>
      <c r="P71" s="62">
        <f t="shared" ca="1" si="11"/>
        <v>0</v>
      </c>
      <c r="Q71" s="62">
        <f t="shared" ca="1" si="11"/>
        <v>0</v>
      </c>
      <c r="R71" s="62">
        <f t="shared" ca="1" si="11"/>
        <v>0</v>
      </c>
      <c r="S71" s="62">
        <f t="shared" ca="1" si="11"/>
        <v>0</v>
      </c>
      <c r="T71" s="62">
        <f t="shared" ca="1" si="11"/>
        <v>0</v>
      </c>
      <c r="U71" s="62">
        <f t="shared" ca="1" si="11"/>
        <v>0</v>
      </c>
      <c r="V71" s="62">
        <f t="shared" ca="1" si="11"/>
        <v>0</v>
      </c>
      <c r="W71" s="62">
        <f t="shared" ca="1" si="11"/>
        <v>0</v>
      </c>
      <c r="X71" s="62">
        <f t="shared" ca="1" si="11"/>
        <v>0</v>
      </c>
      <c r="Y71" s="62">
        <f t="shared" ca="1" si="11"/>
        <v>0</v>
      </c>
      <c r="Z71" s="62">
        <f t="shared" ca="1" si="10"/>
        <v>0</v>
      </c>
      <c r="AA71" s="62">
        <f t="shared" ca="1" si="10"/>
        <v>0</v>
      </c>
      <c r="AB71" s="62">
        <f t="shared" ca="1" si="10"/>
        <v>0</v>
      </c>
      <c r="AC71" s="62">
        <f t="shared" ca="1" si="10"/>
        <v>0</v>
      </c>
      <c r="AD71" s="62">
        <f t="shared" ca="1" si="10"/>
        <v>0</v>
      </c>
      <c r="AE71" s="62">
        <f t="shared" ca="1" si="10"/>
        <v>0</v>
      </c>
      <c r="AF71" s="62">
        <f t="shared" ca="1" si="10"/>
        <v>0</v>
      </c>
      <c r="AG71" s="62">
        <f t="shared" ca="1" si="10"/>
        <v>0</v>
      </c>
      <c r="AH71" s="62">
        <f t="shared" ca="1" si="10"/>
        <v>0</v>
      </c>
      <c r="AI71" s="62">
        <f t="shared" ca="1" si="10"/>
        <v>0</v>
      </c>
      <c r="AJ71" s="62">
        <f t="shared" ca="1" si="10"/>
        <v>0</v>
      </c>
      <c r="AK71" s="62">
        <f t="shared" ca="1" si="10"/>
        <v>0</v>
      </c>
      <c r="AL71" s="62">
        <f t="shared" ca="1" si="10"/>
        <v>0</v>
      </c>
      <c r="AM71" s="62">
        <f t="shared" ca="1" si="10"/>
        <v>0</v>
      </c>
      <c r="AN71" s="62">
        <f t="shared" ca="1" si="10"/>
        <v>0</v>
      </c>
      <c r="AR71" s="63"/>
    </row>
    <row r="72" spans="1:44" ht="15.75">
      <c r="A72" s="177"/>
      <c r="B72" s="178"/>
      <c r="C72" s="174"/>
      <c r="D72" s="179"/>
      <c r="E72" s="180"/>
      <c r="F72" s="172"/>
      <c r="G72" s="66">
        <f t="shared" ca="1" si="5"/>
        <v>0</v>
      </c>
      <c r="H72" s="62">
        <f t="shared" ca="1" si="4"/>
        <v>0</v>
      </c>
      <c r="I72" s="27"/>
      <c r="J72" s="62">
        <f t="shared" ca="1" si="11"/>
        <v>0</v>
      </c>
      <c r="K72" s="62">
        <f t="shared" ca="1" si="11"/>
        <v>0</v>
      </c>
      <c r="L72" s="62">
        <f t="shared" ca="1" si="11"/>
        <v>0</v>
      </c>
      <c r="M72" s="62">
        <f t="shared" ca="1" si="11"/>
        <v>0</v>
      </c>
      <c r="N72" s="62">
        <f t="shared" ca="1" si="11"/>
        <v>0</v>
      </c>
      <c r="O72" s="62">
        <f t="shared" ca="1" si="11"/>
        <v>0</v>
      </c>
      <c r="P72" s="62">
        <f t="shared" ca="1" si="11"/>
        <v>0</v>
      </c>
      <c r="Q72" s="62">
        <f t="shared" ca="1" si="11"/>
        <v>0</v>
      </c>
      <c r="R72" s="62">
        <f t="shared" ca="1" si="11"/>
        <v>0</v>
      </c>
      <c r="S72" s="62">
        <f t="shared" ca="1" si="11"/>
        <v>0</v>
      </c>
      <c r="T72" s="62">
        <f t="shared" ca="1" si="11"/>
        <v>0</v>
      </c>
      <c r="U72" s="62">
        <f t="shared" ca="1" si="11"/>
        <v>0</v>
      </c>
      <c r="V72" s="62">
        <f t="shared" ca="1" si="11"/>
        <v>0</v>
      </c>
      <c r="W72" s="62">
        <f t="shared" ca="1" si="11"/>
        <v>0</v>
      </c>
      <c r="X72" s="62">
        <f t="shared" ca="1" si="11"/>
        <v>0</v>
      </c>
      <c r="Y72" s="62">
        <f t="shared" ca="1" si="11"/>
        <v>0</v>
      </c>
      <c r="Z72" s="62">
        <f t="shared" ca="1" si="10"/>
        <v>0</v>
      </c>
      <c r="AA72" s="62">
        <f t="shared" ca="1" si="10"/>
        <v>0</v>
      </c>
      <c r="AB72" s="62">
        <f t="shared" ca="1" si="10"/>
        <v>0</v>
      </c>
      <c r="AC72" s="62">
        <f t="shared" ca="1" si="10"/>
        <v>0</v>
      </c>
      <c r="AD72" s="62">
        <f t="shared" ca="1" si="10"/>
        <v>0</v>
      </c>
      <c r="AE72" s="62">
        <f t="shared" ca="1" si="10"/>
        <v>0</v>
      </c>
      <c r="AF72" s="62">
        <f t="shared" ca="1" si="10"/>
        <v>0</v>
      </c>
      <c r="AG72" s="62">
        <f t="shared" ca="1" si="10"/>
        <v>0</v>
      </c>
      <c r="AH72" s="62">
        <f t="shared" ca="1" si="10"/>
        <v>0</v>
      </c>
      <c r="AI72" s="62">
        <f t="shared" ca="1" si="10"/>
        <v>0</v>
      </c>
      <c r="AJ72" s="62">
        <f t="shared" ca="1" si="10"/>
        <v>0</v>
      </c>
      <c r="AK72" s="62">
        <f t="shared" ca="1" si="10"/>
        <v>0</v>
      </c>
      <c r="AL72" s="62">
        <f t="shared" ca="1" si="10"/>
        <v>0</v>
      </c>
      <c r="AM72" s="62">
        <f t="shared" ca="1" si="10"/>
        <v>0</v>
      </c>
      <c r="AN72" s="62">
        <f t="shared" ca="1" si="10"/>
        <v>0</v>
      </c>
      <c r="AR72" s="63"/>
    </row>
    <row r="73" spans="1:44" ht="15.75">
      <c r="A73" s="177"/>
      <c r="B73" s="178"/>
      <c r="C73" s="181"/>
      <c r="D73" s="179"/>
      <c r="E73" s="180"/>
      <c r="F73" s="172"/>
      <c r="G73" s="66">
        <f t="shared" ca="1" si="5"/>
        <v>0</v>
      </c>
      <c r="H73" s="62">
        <f t="shared" ca="1" si="4"/>
        <v>0</v>
      </c>
      <c r="I73" s="27"/>
      <c r="J73" s="62">
        <f t="shared" ca="1" si="11"/>
        <v>0</v>
      </c>
      <c r="K73" s="62">
        <f t="shared" ca="1" si="11"/>
        <v>0</v>
      </c>
      <c r="L73" s="62">
        <f t="shared" ca="1" si="11"/>
        <v>0</v>
      </c>
      <c r="M73" s="62">
        <f t="shared" ca="1" si="11"/>
        <v>0</v>
      </c>
      <c r="N73" s="62">
        <f t="shared" ca="1" si="11"/>
        <v>0</v>
      </c>
      <c r="O73" s="62">
        <f t="shared" ca="1" si="11"/>
        <v>0</v>
      </c>
      <c r="P73" s="62">
        <f t="shared" ca="1" si="11"/>
        <v>0</v>
      </c>
      <c r="Q73" s="62">
        <f t="shared" ca="1" si="11"/>
        <v>0</v>
      </c>
      <c r="R73" s="62">
        <f t="shared" ca="1" si="11"/>
        <v>0</v>
      </c>
      <c r="S73" s="62">
        <f t="shared" ca="1" si="11"/>
        <v>0</v>
      </c>
      <c r="T73" s="62">
        <f t="shared" ca="1" si="11"/>
        <v>0</v>
      </c>
      <c r="U73" s="62">
        <f t="shared" ca="1" si="11"/>
        <v>0</v>
      </c>
      <c r="V73" s="62">
        <f t="shared" ca="1" si="11"/>
        <v>0</v>
      </c>
      <c r="W73" s="62">
        <f t="shared" ca="1" si="11"/>
        <v>0</v>
      </c>
      <c r="X73" s="62">
        <f t="shared" ca="1" si="11"/>
        <v>0</v>
      </c>
      <c r="Y73" s="62">
        <f t="shared" ref="Y73:AN88" ca="1" si="12">IF(ABS($E73-Y$9)&lt;0.5,$D73,0)</f>
        <v>0</v>
      </c>
      <c r="Z73" s="62">
        <f t="shared" ca="1" si="12"/>
        <v>0</v>
      </c>
      <c r="AA73" s="62">
        <f t="shared" ca="1" si="12"/>
        <v>0</v>
      </c>
      <c r="AB73" s="62">
        <f t="shared" ca="1" si="12"/>
        <v>0</v>
      </c>
      <c r="AC73" s="62">
        <f t="shared" ca="1" si="12"/>
        <v>0</v>
      </c>
      <c r="AD73" s="62">
        <f t="shared" ca="1" si="12"/>
        <v>0</v>
      </c>
      <c r="AE73" s="62">
        <f t="shared" ca="1" si="12"/>
        <v>0</v>
      </c>
      <c r="AF73" s="62">
        <f t="shared" ca="1" si="12"/>
        <v>0</v>
      </c>
      <c r="AG73" s="62">
        <f t="shared" ca="1" si="12"/>
        <v>0</v>
      </c>
      <c r="AH73" s="62">
        <f t="shared" ca="1" si="12"/>
        <v>0</v>
      </c>
      <c r="AI73" s="62">
        <f t="shared" ca="1" si="12"/>
        <v>0</v>
      </c>
      <c r="AJ73" s="62">
        <f t="shared" ca="1" si="12"/>
        <v>0</v>
      </c>
      <c r="AK73" s="62">
        <f t="shared" ca="1" si="12"/>
        <v>0</v>
      </c>
      <c r="AL73" s="62">
        <f t="shared" ca="1" si="12"/>
        <v>0</v>
      </c>
      <c r="AM73" s="62">
        <f t="shared" ca="1" si="12"/>
        <v>0</v>
      </c>
      <c r="AN73" s="62">
        <f t="shared" ca="1" si="12"/>
        <v>0</v>
      </c>
      <c r="AR73" s="63"/>
    </row>
    <row r="74" spans="1:44" ht="15.75">
      <c r="A74" s="177"/>
      <c r="B74" s="178"/>
      <c r="C74" s="181"/>
      <c r="D74" s="179"/>
      <c r="E74" s="180"/>
      <c r="F74" s="172"/>
      <c r="G74" s="66">
        <f t="shared" ca="1" si="5"/>
        <v>0</v>
      </c>
      <c r="H74" s="62">
        <f t="shared" ca="1" si="4"/>
        <v>0</v>
      </c>
      <c r="I74" s="27"/>
      <c r="J74" s="62">
        <f t="shared" ref="J74:Y89" ca="1" si="13">IF(ABS($E74-J$9)&lt;0.5,$D74,0)</f>
        <v>0</v>
      </c>
      <c r="K74" s="62">
        <f t="shared" ca="1" si="13"/>
        <v>0</v>
      </c>
      <c r="L74" s="62">
        <f t="shared" ca="1" si="13"/>
        <v>0</v>
      </c>
      <c r="M74" s="62">
        <f t="shared" ca="1" si="13"/>
        <v>0</v>
      </c>
      <c r="N74" s="62">
        <f t="shared" ca="1" si="13"/>
        <v>0</v>
      </c>
      <c r="O74" s="62">
        <f t="shared" ca="1" si="13"/>
        <v>0</v>
      </c>
      <c r="P74" s="62">
        <f t="shared" ca="1" si="13"/>
        <v>0</v>
      </c>
      <c r="Q74" s="62">
        <f t="shared" ca="1" si="13"/>
        <v>0</v>
      </c>
      <c r="R74" s="62">
        <f t="shared" ca="1" si="13"/>
        <v>0</v>
      </c>
      <c r="S74" s="62">
        <f t="shared" ca="1" si="13"/>
        <v>0</v>
      </c>
      <c r="T74" s="62">
        <f t="shared" ca="1" si="13"/>
        <v>0</v>
      </c>
      <c r="U74" s="62">
        <f t="shared" ca="1" si="13"/>
        <v>0</v>
      </c>
      <c r="V74" s="62">
        <f t="shared" ca="1" si="13"/>
        <v>0</v>
      </c>
      <c r="W74" s="62">
        <f t="shared" ca="1" si="13"/>
        <v>0</v>
      </c>
      <c r="X74" s="62">
        <f t="shared" ca="1" si="13"/>
        <v>0</v>
      </c>
      <c r="Y74" s="62">
        <f t="shared" ca="1" si="12"/>
        <v>0</v>
      </c>
      <c r="Z74" s="62">
        <f t="shared" ca="1" si="12"/>
        <v>0</v>
      </c>
      <c r="AA74" s="62">
        <f t="shared" ca="1" si="12"/>
        <v>0</v>
      </c>
      <c r="AB74" s="62">
        <f t="shared" ca="1" si="12"/>
        <v>0</v>
      </c>
      <c r="AC74" s="62">
        <f t="shared" ca="1" si="12"/>
        <v>0</v>
      </c>
      <c r="AD74" s="62">
        <f t="shared" ca="1" si="12"/>
        <v>0</v>
      </c>
      <c r="AE74" s="62">
        <f t="shared" ca="1" si="12"/>
        <v>0</v>
      </c>
      <c r="AF74" s="62">
        <f t="shared" ca="1" si="12"/>
        <v>0</v>
      </c>
      <c r="AG74" s="62">
        <f t="shared" ca="1" si="12"/>
        <v>0</v>
      </c>
      <c r="AH74" s="62">
        <f t="shared" ca="1" si="12"/>
        <v>0</v>
      </c>
      <c r="AI74" s="62">
        <f t="shared" ca="1" si="12"/>
        <v>0</v>
      </c>
      <c r="AJ74" s="62">
        <f t="shared" ca="1" si="12"/>
        <v>0</v>
      </c>
      <c r="AK74" s="62">
        <f t="shared" ca="1" si="12"/>
        <v>0</v>
      </c>
      <c r="AL74" s="62">
        <f t="shared" ca="1" si="12"/>
        <v>0</v>
      </c>
      <c r="AM74" s="62">
        <f t="shared" ca="1" si="12"/>
        <v>0</v>
      </c>
      <c r="AN74" s="62">
        <f t="shared" ca="1" si="12"/>
        <v>0</v>
      </c>
      <c r="AR74" s="63"/>
    </row>
    <row r="75" spans="1:44" ht="15.75">
      <c r="A75" s="177"/>
      <c r="B75" s="178"/>
      <c r="C75" s="181"/>
      <c r="D75" s="179"/>
      <c r="E75" s="180"/>
      <c r="F75" s="172"/>
      <c r="G75" s="66">
        <f t="shared" ca="1" si="5"/>
        <v>0</v>
      </c>
      <c r="H75" s="62">
        <f t="shared" ref="H75:H95" ca="1" si="14">IF($E75&lt;J$9,$D75,0)</f>
        <v>0</v>
      </c>
      <c r="I75" s="27"/>
      <c r="J75" s="62">
        <f t="shared" ca="1" si="13"/>
        <v>0</v>
      </c>
      <c r="K75" s="62">
        <f t="shared" ca="1" si="13"/>
        <v>0</v>
      </c>
      <c r="L75" s="62">
        <f t="shared" ca="1" si="13"/>
        <v>0</v>
      </c>
      <c r="M75" s="62">
        <f t="shared" ca="1" si="13"/>
        <v>0</v>
      </c>
      <c r="N75" s="62">
        <f t="shared" ca="1" si="13"/>
        <v>0</v>
      </c>
      <c r="O75" s="62">
        <f t="shared" ca="1" si="13"/>
        <v>0</v>
      </c>
      <c r="P75" s="62">
        <f t="shared" ca="1" si="13"/>
        <v>0</v>
      </c>
      <c r="Q75" s="62">
        <f t="shared" ca="1" si="13"/>
        <v>0</v>
      </c>
      <c r="R75" s="62">
        <f t="shared" ca="1" si="13"/>
        <v>0</v>
      </c>
      <c r="S75" s="62">
        <f t="shared" ca="1" si="13"/>
        <v>0</v>
      </c>
      <c r="T75" s="62">
        <f t="shared" ca="1" si="13"/>
        <v>0</v>
      </c>
      <c r="U75" s="62">
        <f t="shared" ca="1" si="13"/>
        <v>0</v>
      </c>
      <c r="V75" s="62">
        <f t="shared" ca="1" si="13"/>
        <v>0</v>
      </c>
      <c r="W75" s="62">
        <f t="shared" ca="1" si="13"/>
        <v>0</v>
      </c>
      <c r="X75" s="62">
        <f t="shared" ca="1" si="13"/>
        <v>0</v>
      </c>
      <c r="Y75" s="62">
        <f t="shared" ca="1" si="12"/>
        <v>0</v>
      </c>
      <c r="Z75" s="62">
        <f t="shared" ca="1" si="12"/>
        <v>0</v>
      </c>
      <c r="AA75" s="62">
        <f t="shared" ca="1" si="12"/>
        <v>0</v>
      </c>
      <c r="AB75" s="62">
        <f t="shared" ca="1" si="12"/>
        <v>0</v>
      </c>
      <c r="AC75" s="62">
        <f t="shared" ca="1" si="12"/>
        <v>0</v>
      </c>
      <c r="AD75" s="62">
        <f t="shared" ca="1" si="12"/>
        <v>0</v>
      </c>
      <c r="AE75" s="62">
        <f t="shared" ca="1" si="12"/>
        <v>0</v>
      </c>
      <c r="AF75" s="62">
        <f t="shared" ca="1" si="12"/>
        <v>0</v>
      </c>
      <c r="AG75" s="62">
        <f t="shared" ca="1" si="12"/>
        <v>0</v>
      </c>
      <c r="AH75" s="62">
        <f t="shared" ca="1" si="12"/>
        <v>0</v>
      </c>
      <c r="AI75" s="62">
        <f t="shared" ca="1" si="12"/>
        <v>0</v>
      </c>
      <c r="AJ75" s="62">
        <f t="shared" ca="1" si="12"/>
        <v>0</v>
      </c>
      <c r="AK75" s="62">
        <f t="shared" ca="1" si="12"/>
        <v>0</v>
      </c>
      <c r="AL75" s="62">
        <f t="shared" ca="1" si="12"/>
        <v>0</v>
      </c>
      <c r="AM75" s="62">
        <f t="shared" ca="1" si="12"/>
        <v>0</v>
      </c>
      <c r="AN75" s="62">
        <f t="shared" ca="1" si="12"/>
        <v>0</v>
      </c>
      <c r="AR75" s="63"/>
    </row>
    <row r="76" spans="1:44" ht="15.75">
      <c r="A76" s="177"/>
      <c r="B76" s="178"/>
      <c r="C76" s="181"/>
      <c r="D76" s="179"/>
      <c r="E76" s="180"/>
      <c r="F76" s="172"/>
      <c r="G76" s="66">
        <f t="shared" ref="G76:G95" ca="1" si="15">IF(D76="",0,IF(F76="",IF(NOW()&gt;E76,TRUNC(NOW()-E76),0),0))</f>
        <v>0</v>
      </c>
      <c r="H76" s="62">
        <f t="shared" ca="1" si="14"/>
        <v>0</v>
      </c>
      <c r="I76" s="27"/>
      <c r="J76" s="62">
        <f t="shared" ca="1" si="13"/>
        <v>0</v>
      </c>
      <c r="K76" s="62">
        <f t="shared" ca="1" si="13"/>
        <v>0</v>
      </c>
      <c r="L76" s="62">
        <f t="shared" ca="1" si="13"/>
        <v>0</v>
      </c>
      <c r="M76" s="62">
        <f t="shared" ca="1" si="13"/>
        <v>0</v>
      </c>
      <c r="N76" s="62">
        <f t="shared" ca="1" si="13"/>
        <v>0</v>
      </c>
      <c r="O76" s="62">
        <f t="shared" ca="1" si="13"/>
        <v>0</v>
      </c>
      <c r="P76" s="62">
        <f t="shared" ca="1" si="13"/>
        <v>0</v>
      </c>
      <c r="Q76" s="62">
        <f t="shared" ca="1" si="13"/>
        <v>0</v>
      </c>
      <c r="R76" s="62">
        <f t="shared" ca="1" si="13"/>
        <v>0</v>
      </c>
      <c r="S76" s="62">
        <f t="shared" ca="1" si="13"/>
        <v>0</v>
      </c>
      <c r="T76" s="62">
        <f t="shared" ca="1" si="13"/>
        <v>0</v>
      </c>
      <c r="U76" s="62">
        <f t="shared" ca="1" si="13"/>
        <v>0</v>
      </c>
      <c r="V76" s="62">
        <f t="shared" ca="1" si="13"/>
        <v>0</v>
      </c>
      <c r="W76" s="62">
        <f t="shared" ca="1" si="13"/>
        <v>0</v>
      </c>
      <c r="X76" s="62">
        <f t="shared" ca="1" si="13"/>
        <v>0</v>
      </c>
      <c r="Y76" s="62">
        <f t="shared" ca="1" si="12"/>
        <v>0</v>
      </c>
      <c r="Z76" s="62">
        <f t="shared" ca="1" si="12"/>
        <v>0</v>
      </c>
      <c r="AA76" s="62">
        <f t="shared" ca="1" si="12"/>
        <v>0</v>
      </c>
      <c r="AB76" s="62">
        <f t="shared" ca="1" si="12"/>
        <v>0</v>
      </c>
      <c r="AC76" s="62">
        <f t="shared" ca="1" si="12"/>
        <v>0</v>
      </c>
      <c r="AD76" s="62">
        <f t="shared" ca="1" si="12"/>
        <v>0</v>
      </c>
      <c r="AE76" s="62">
        <f t="shared" ca="1" si="12"/>
        <v>0</v>
      </c>
      <c r="AF76" s="62">
        <f t="shared" ca="1" si="12"/>
        <v>0</v>
      </c>
      <c r="AG76" s="62">
        <f t="shared" ca="1" si="12"/>
        <v>0</v>
      </c>
      <c r="AH76" s="62">
        <f t="shared" ca="1" si="12"/>
        <v>0</v>
      </c>
      <c r="AI76" s="62">
        <f t="shared" ca="1" si="12"/>
        <v>0</v>
      </c>
      <c r="AJ76" s="62">
        <f t="shared" ca="1" si="12"/>
        <v>0</v>
      </c>
      <c r="AK76" s="62">
        <f t="shared" ca="1" si="12"/>
        <v>0</v>
      </c>
      <c r="AL76" s="62">
        <f t="shared" ca="1" si="12"/>
        <v>0</v>
      </c>
      <c r="AM76" s="62">
        <f t="shared" ca="1" si="12"/>
        <v>0</v>
      </c>
      <c r="AN76" s="62">
        <f t="shared" ca="1" si="12"/>
        <v>0</v>
      </c>
      <c r="AR76" s="63"/>
    </row>
    <row r="77" spans="1:44" ht="15.75">
      <c r="A77" s="177"/>
      <c r="B77" s="178"/>
      <c r="C77" s="181"/>
      <c r="D77" s="179"/>
      <c r="E77" s="180"/>
      <c r="F77" s="172"/>
      <c r="G77" s="66">
        <f t="shared" ca="1" si="15"/>
        <v>0</v>
      </c>
      <c r="H77" s="62">
        <f t="shared" ca="1" si="14"/>
        <v>0</v>
      </c>
      <c r="I77" s="27"/>
      <c r="J77" s="62">
        <f t="shared" ca="1" si="13"/>
        <v>0</v>
      </c>
      <c r="K77" s="62">
        <f t="shared" ca="1" si="13"/>
        <v>0</v>
      </c>
      <c r="L77" s="62">
        <f t="shared" ca="1" si="13"/>
        <v>0</v>
      </c>
      <c r="M77" s="62">
        <f t="shared" ca="1" si="13"/>
        <v>0</v>
      </c>
      <c r="N77" s="62">
        <f t="shared" ca="1" si="13"/>
        <v>0</v>
      </c>
      <c r="O77" s="62">
        <f t="shared" ca="1" si="13"/>
        <v>0</v>
      </c>
      <c r="P77" s="62">
        <f t="shared" ca="1" si="13"/>
        <v>0</v>
      </c>
      <c r="Q77" s="62">
        <f t="shared" ca="1" si="13"/>
        <v>0</v>
      </c>
      <c r="R77" s="62">
        <f t="shared" ca="1" si="13"/>
        <v>0</v>
      </c>
      <c r="S77" s="62">
        <f t="shared" ca="1" si="13"/>
        <v>0</v>
      </c>
      <c r="T77" s="62">
        <f t="shared" ca="1" si="13"/>
        <v>0</v>
      </c>
      <c r="U77" s="62">
        <f t="shared" ca="1" si="13"/>
        <v>0</v>
      </c>
      <c r="V77" s="62">
        <f t="shared" ca="1" si="13"/>
        <v>0</v>
      </c>
      <c r="W77" s="62">
        <f t="shared" ca="1" si="13"/>
        <v>0</v>
      </c>
      <c r="X77" s="62">
        <f t="shared" ca="1" si="13"/>
        <v>0</v>
      </c>
      <c r="Y77" s="62">
        <f t="shared" ca="1" si="12"/>
        <v>0</v>
      </c>
      <c r="Z77" s="62">
        <f t="shared" ca="1" si="12"/>
        <v>0</v>
      </c>
      <c r="AA77" s="62">
        <f t="shared" ca="1" si="12"/>
        <v>0</v>
      </c>
      <c r="AB77" s="62">
        <f t="shared" ca="1" si="12"/>
        <v>0</v>
      </c>
      <c r="AC77" s="62">
        <f t="shared" ca="1" si="12"/>
        <v>0</v>
      </c>
      <c r="AD77" s="62">
        <f t="shared" ca="1" si="12"/>
        <v>0</v>
      </c>
      <c r="AE77" s="62">
        <f t="shared" ca="1" si="12"/>
        <v>0</v>
      </c>
      <c r="AF77" s="62">
        <f t="shared" ca="1" si="12"/>
        <v>0</v>
      </c>
      <c r="AG77" s="62">
        <f t="shared" ca="1" si="12"/>
        <v>0</v>
      </c>
      <c r="AH77" s="62">
        <f t="shared" ca="1" si="12"/>
        <v>0</v>
      </c>
      <c r="AI77" s="62">
        <f t="shared" ca="1" si="12"/>
        <v>0</v>
      </c>
      <c r="AJ77" s="62">
        <f t="shared" ca="1" si="12"/>
        <v>0</v>
      </c>
      <c r="AK77" s="62">
        <f t="shared" ca="1" si="12"/>
        <v>0</v>
      </c>
      <c r="AL77" s="62">
        <f t="shared" ca="1" si="12"/>
        <v>0</v>
      </c>
      <c r="AM77" s="62">
        <f t="shared" ca="1" si="12"/>
        <v>0</v>
      </c>
      <c r="AN77" s="62">
        <f t="shared" ca="1" si="12"/>
        <v>0</v>
      </c>
      <c r="AR77" s="63"/>
    </row>
    <row r="78" spans="1:44" ht="15.75">
      <c r="A78" s="177"/>
      <c r="B78" s="178"/>
      <c r="C78" s="181"/>
      <c r="D78" s="179"/>
      <c r="E78" s="180"/>
      <c r="F78" s="172"/>
      <c r="G78" s="66">
        <f t="shared" ca="1" si="15"/>
        <v>0</v>
      </c>
      <c r="H78" s="62">
        <f t="shared" ca="1" si="14"/>
        <v>0</v>
      </c>
      <c r="I78" s="27"/>
      <c r="J78" s="62">
        <f t="shared" ca="1" si="13"/>
        <v>0</v>
      </c>
      <c r="K78" s="62">
        <f t="shared" ca="1" si="13"/>
        <v>0</v>
      </c>
      <c r="L78" s="62">
        <f t="shared" ca="1" si="13"/>
        <v>0</v>
      </c>
      <c r="M78" s="62">
        <f t="shared" ca="1" si="13"/>
        <v>0</v>
      </c>
      <c r="N78" s="62">
        <f t="shared" ca="1" si="13"/>
        <v>0</v>
      </c>
      <c r="O78" s="62">
        <f t="shared" ca="1" si="13"/>
        <v>0</v>
      </c>
      <c r="P78" s="62">
        <f t="shared" ca="1" si="13"/>
        <v>0</v>
      </c>
      <c r="Q78" s="62">
        <f t="shared" ca="1" si="13"/>
        <v>0</v>
      </c>
      <c r="R78" s="62">
        <f t="shared" ca="1" si="13"/>
        <v>0</v>
      </c>
      <c r="S78" s="62">
        <f t="shared" ca="1" si="13"/>
        <v>0</v>
      </c>
      <c r="T78" s="62">
        <f t="shared" ca="1" si="13"/>
        <v>0</v>
      </c>
      <c r="U78" s="62">
        <f t="shared" ca="1" si="13"/>
        <v>0</v>
      </c>
      <c r="V78" s="62">
        <f t="shared" ca="1" si="13"/>
        <v>0</v>
      </c>
      <c r="W78" s="62">
        <f t="shared" ca="1" si="13"/>
        <v>0</v>
      </c>
      <c r="X78" s="62">
        <f t="shared" ca="1" si="13"/>
        <v>0</v>
      </c>
      <c r="Y78" s="62">
        <f t="shared" ca="1" si="12"/>
        <v>0</v>
      </c>
      <c r="Z78" s="62">
        <f t="shared" ca="1" si="12"/>
        <v>0</v>
      </c>
      <c r="AA78" s="62">
        <f t="shared" ca="1" si="12"/>
        <v>0</v>
      </c>
      <c r="AB78" s="62">
        <f t="shared" ca="1" si="12"/>
        <v>0</v>
      </c>
      <c r="AC78" s="62">
        <f t="shared" ca="1" si="12"/>
        <v>0</v>
      </c>
      <c r="AD78" s="62">
        <f t="shared" ca="1" si="12"/>
        <v>0</v>
      </c>
      <c r="AE78" s="62">
        <f t="shared" ca="1" si="12"/>
        <v>0</v>
      </c>
      <c r="AF78" s="62">
        <f t="shared" ca="1" si="12"/>
        <v>0</v>
      </c>
      <c r="AG78" s="62">
        <f t="shared" ca="1" si="12"/>
        <v>0</v>
      </c>
      <c r="AH78" s="62">
        <f t="shared" ca="1" si="12"/>
        <v>0</v>
      </c>
      <c r="AI78" s="62">
        <f t="shared" ca="1" si="12"/>
        <v>0</v>
      </c>
      <c r="AJ78" s="62">
        <f t="shared" ca="1" si="12"/>
        <v>0</v>
      </c>
      <c r="AK78" s="62">
        <f t="shared" ca="1" si="12"/>
        <v>0</v>
      </c>
      <c r="AL78" s="62">
        <f t="shared" ca="1" si="12"/>
        <v>0</v>
      </c>
      <c r="AM78" s="62">
        <f t="shared" ca="1" si="12"/>
        <v>0</v>
      </c>
      <c r="AN78" s="62">
        <f t="shared" ca="1" si="12"/>
        <v>0</v>
      </c>
      <c r="AR78" s="63"/>
    </row>
    <row r="79" spans="1:44" ht="15.75">
      <c r="A79" s="177"/>
      <c r="B79" s="178"/>
      <c r="C79" s="181"/>
      <c r="D79" s="179"/>
      <c r="E79" s="180"/>
      <c r="F79" s="172"/>
      <c r="G79" s="66">
        <f t="shared" ca="1" si="15"/>
        <v>0</v>
      </c>
      <c r="H79" s="62">
        <f t="shared" ca="1" si="14"/>
        <v>0</v>
      </c>
      <c r="I79" s="27"/>
      <c r="J79" s="62">
        <f t="shared" ca="1" si="13"/>
        <v>0</v>
      </c>
      <c r="K79" s="62">
        <f t="shared" ca="1" si="13"/>
        <v>0</v>
      </c>
      <c r="L79" s="62">
        <f t="shared" ca="1" si="13"/>
        <v>0</v>
      </c>
      <c r="M79" s="62">
        <f t="shared" ca="1" si="13"/>
        <v>0</v>
      </c>
      <c r="N79" s="62">
        <f t="shared" ca="1" si="13"/>
        <v>0</v>
      </c>
      <c r="O79" s="62">
        <f t="shared" ca="1" si="13"/>
        <v>0</v>
      </c>
      <c r="P79" s="62">
        <f t="shared" ca="1" si="13"/>
        <v>0</v>
      </c>
      <c r="Q79" s="62">
        <f t="shared" ca="1" si="13"/>
        <v>0</v>
      </c>
      <c r="R79" s="62">
        <f t="shared" ca="1" si="13"/>
        <v>0</v>
      </c>
      <c r="S79" s="62">
        <f t="shared" ca="1" si="13"/>
        <v>0</v>
      </c>
      <c r="T79" s="62">
        <f t="shared" ca="1" si="13"/>
        <v>0</v>
      </c>
      <c r="U79" s="62">
        <f t="shared" ca="1" si="13"/>
        <v>0</v>
      </c>
      <c r="V79" s="62">
        <f t="shared" ca="1" si="13"/>
        <v>0</v>
      </c>
      <c r="W79" s="62">
        <f t="shared" ca="1" si="13"/>
        <v>0</v>
      </c>
      <c r="X79" s="62">
        <f t="shared" ca="1" si="13"/>
        <v>0</v>
      </c>
      <c r="Y79" s="62">
        <f t="shared" ca="1" si="12"/>
        <v>0</v>
      </c>
      <c r="Z79" s="62">
        <f t="shared" ca="1" si="12"/>
        <v>0</v>
      </c>
      <c r="AA79" s="62">
        <f t="shared" ca="1" si="12"/>
        <v>0</v>
      </c>
      <c r="AB79" s="62">
        <f t="shared" ca="1" si="12"/>
        <v>0</v>
      </c>
      <c r="AC79" s="62">
        <f t="shared" ca="1" si="12"/>
        <v>0</v>
      </c>
      <c r="AD79" s="62">
        <f t="shared" ca="1" si="12"/>
        <v>0</v>
      </c>
      <c r="AE79" s="62">
        <f t="shared" ca="1" si="12"/>
        <v>0</v>
      </c>
      <c r="AF79" s="62">
        <f t="shared" ca="1" si="12"/>
        <v>0</v>
      </c>
      <c r="AG79" s="62">
        <f t="shared" ca="1" si="12"/>
        <v>0</v>
      </c>
      <c r="AH79" s="62">
        <f t="shared" ca="1" si="12"/>
        <v>0</v>
      </c>
      <c r="AI79" s="62">
        <f t="shared" ca="1" si="12"/>
        <v>0</v>
      </c>
      <c r="AJ79" s="62">
        <f t="shared" ca="1" si="12"/>
        <v>0</v>
      </c>
      <c r="AK79" s="62">
        <f t="shared" ca="1" si="12"/>
        <v>0</v>
      </c>
      <c r="AL79" s="62">
        <f t="shared" ca="1" si="12"/>
        <v>0</v>
      </c>
      <c r="AM79" s="62">
        <f t="shared" ca="1" si="12"/>
        <v>0</v>
      </c>
      <c r="AN79" s="62">
        <f t="shared" ca="1" si="12"/>
        <v>0</v>
      </c>
      <c r="AR79" s="63"/>
    </row>
    <row r="80" spans="1:44" ht="15.75">
      <c r="A80" s="177"/>
      <c r="B80" s="178"/>
      <c r="C80" s="181"/>
      <c r="D80" s="179"/>
      <c r="E80" s="180"/>
      <c r="F80" s="172"/>
      <c r="G80" s="66">
        <f t="shared" ca="1" si="15"/>
        <v>0</v>
      </c>
      <c r="H80" s="62">
        <f t="shared" ca="1" si="14"/>
        <v>0</v>
      </c>
      <c r="I80" s="27"/>
      <c r="J80" s="62">
        <f t="shared" ca="1" si="13"/>
        <v>0</v>
      </c>
      <c r="K80" s="62">
        <f t="shared" ca="1" si="13"/>
        <v>0</v>
      </c>
      <c r="L80" s="62">
        <f t="shared" ca="1" si="13"/>
        <v>0</v>
      </c>
      <c r="M80" s="62">
        <f t="shared" ca="1" si="13"/>
        <v>0</v>
      </c>
      <c r="N80" s="62">
        <f t="shared" ca="1" si="13"/>
        <v>0</v>
      </c>
      <c r="O80" s="62">
        <f t="shared" ca="1" si="13"/>
        <v>0</v>
      </c>
      <c r="P80" s="62">
        <f t="shared" ca="1" si="13"/>
        <v>0</v>
      </c>
      <c r="Q80" s="62">
        <f t="shared" ca="1" si="13"/>
        <v>0</v>
      </c>
      <c r="R80" s="62">
        <f t="shared" ca="1" si="13"/>
        <v>0</v>
      </c>
      <c r="S80" s="62">
        <f t="shared" ca="1" si="13"/>
        <v>0</v>
      </c>
      <c r="T80" s="62">
        <f t="shared" ca="1" si="13"/>
        <v>0</v>
      </c>
      <c r="U80" s="62">
        <f t="shared" ca="1" si="13"/>
        <v>0</v>
      </c>
      <c r="V80" s="62">
        <f t="shared" ca="1" si="13"/>
        <v>0</v>
      </c>
      <c r="W80" s="62">
        <f t="shared" ca="1" si="13"/>
        <v>0</v>
      </c>
      <c r="X80" s="62">
        <f t="shared" ca="1" si="13"/>
        <v>0</v>
      </c>
      <c r="Y80" s="62">
        <f t="shared" ca="1" si="12"/>
        <v>0</v>
      </c>
      <c r="Z80" s="62">
        <f t="shared" ca="1" si="12"/>
        <v>0</v>
      </c>
      <c r="AA80" s="62">
        <f t="shared" ca="1" si="12"/>
        <v>0</v>
      </c>
      <c r="AB80" s="62">
        <f t="shared" ca="1" si="12"/>
        <v>0</v>
      </c>
      <c r="AC80" s="62">
        <f t="shared" ca="1" si="12"/>
        <v>0</v>
      </c>
      <c r="AD80" s="62">
        <f t="shared" ca="1" si="12"/>
        <v>0</v>
      </c>
      <c r="AE80" s="62">
        <f t="shared" ca="1" si="12"/>
        <v>0</v>
      </c>
      <c r="AF80" s="62">
        <f t="shared" ca="1" si="12"/>
        <v>0</v>
      </c>
      <c r="AG80" s="62">
        <f t="shared" ca="1" si="12"/>
        <v>0</v>
      </c>
      <c r="AH80" s="62">
        <f t="shared" ca="1" si="12"/>
        <v>0</v>
      </c>
      <c r="AI80" s="62">
        <f t="shared" ca="1" si="12"/>
        <v>0</v>
      </c>
      <c r="AJ80" s="62">
        <f t="shared" ca="1" si="12"/>
        <v>0</v>
      </c>
      <c r="AK80" s="62">
        <f t="shared" ca="1" si="12"/>
        <v>0</v>
      </c>
      <c r="AL80" s="62">
        <f t="shared" ca="1" si="12"/>
        <v>0</v>
      </c>
      <c r="AM80" s="62">
        <f t="shared" ca="1" si="12"/>
        <v>0</v>
      </c>
      <c r="AN80" s="62">
        <f t="shared" ca="1" si="12"/>
        <v>0</v>
      </c>
      <c r="AR80" s="63"/>
    </row>
    <row r="81" spans="1:44" ht="15.75">
      <c r="A81" s="177"/>
      <c r="B81" s="178"/>
      <c r="C81" s="181"/>
      <c r="D81" s="179"/>
      <c r="E81" s="180"/>
      <c r="F81" s="172"/>
      <c r="G81" s="66">
        <f t="shared" ca="1" si="15"/>
        <v>0</v>
      </c>
      <c r="H81" s="62">
        <f t="shared" ca="1" si="14"/>
        <v>0</v>
      </c>
      <c r="I81" s="27"/>
      <c r="J81" s="62">
        <f t="shared" ca="1" si="13"/>
        <v>0</v>
      </c>
      <c r="K81" s="62">
        <f t="shared" ca="1" si="13"/>
        <v>0</v>
      </c>
      <c r="L81" s="62">
        <f t="shared" ca="1" si="13"/>
        <v>0</v>
      </c>
      <c r="M81" s="62">
        <f t="shared" ca="1" si="13"/>
        <v>0</v>
      </c>
      <c r="N81" s="62">
        <f t="shared" ca="1" si="13"/>
        <v>0</v>
      </c>
      <c r="O81" s="62">
        <f t="shared" ca="1" si="13"/>
        <v>0</v>
      </c>
      <c r="P81" s="62">
        <f t="shared" ca="1" si="13"/>
        <v>0</v>
      </c>
      <c r="Q81" s="62">
        <f t="shared" ca="1" si="13"/>
        <v>0</v>
      </c>
      <c r="R81" s="62">
        <f t="shared" ca="1" si="13"/>
        <v>0</v>
      </c>
      <c r="S81" s="62">
        <f t="shared" ca="1" si="13"/>
        <v>0</v>
      </c>
      <c r="T81" s="62">
        <f t="shared" ca="1" si="13"/>
        <v>0</v>
      </c>
      <c r="U81" s="62">
        <f t="shared" ca="1" si="13"/>
        <v>0</v>
      </c>
      <c r="V81" s="62">
        <f t="shared" ca="1" si="13"/>
        <v>0</v>
      </c>
      <c r="W81" s="62">
        <f t="shared" ca="1" si="13"/>
        <v>0</v>
      </c>
      <c r="X81" s="62">
        <f t="shared" ca="1" si="13"/>
        <v>0</v>
      </c>
      <c r="Y81" s="62">
        <f t="shared" ca="1" si="12"/>
        <v>0</v>
      </c>
      <c r="Z81" s="62">
        <f t="shared" ca="1" si="12"/>
        <v>0</v>
      </c>
      <c r="AA81" s="62">
        <f t="shared" ca="1" si="12"/>
        <v>0</v>
      </c>
      <c r="AB81" s="62">
        <f t="shared" ca="1" si="12"/>
        <v>0</v>
      </c>
      <c r="AC81" s="62">
        <f t="shared" ca="1" si="12"/>
        <v>0</v>
      </c>
      <c r="AD81" s="62">
        <f t="shared" ca="1" si="12"/>
        <v>0</v>
      </c>
      <c r="AE81" s="62">
        <f t="shared" ca="1" si="12"/>
        <v>0</v>
      </c>
      <c r="AF81" s="62">
        <f t="shared" ca="1" si="12"/>
        <v>0</v>
      </c>
      <c r="AG81" s="62">
        <f t="shared" ca="1" si="12"/>
        <v>0</v>
      </c>
      <c r="AH81" s="62">
        <f t="shared" ca="1" si="12"/>
        <v>0</v>
      </c>
      <c r="AI81" s="62">
        <f t="shared" ca="1" si="12"/>
        <v>0</v>
      </c>
      <c r="AJ81" s="62">
        <f t="shared" ca="1" si="12"/>
        <v>0</v>
      </c>
      <c r="AK81" s="62">
        <f t="shared" ca="1" si="12"/>
        <v>0</v>
      </c>
      <c r="AL81" s="62">
        <f t="shared" ca="1" si="12"/>
        <v>0</v>
      </c>
      <c r="AM81" s="62">
        <f t="shared" ca="1" si="12"/>
        <v>0</v>
      </c>
      <c r="AN81" s="62">
        <f t="shared" ca="1" si="12"/>
        <v>0</v>
      </c>
      <c r="AR81" s="63"/>
    </row>
    <row r="82" spans="1:44" ht="15.75">
      <c r="A82" s="177"/>
      <c r="B82" s="178"/>
      <c r="C82" s="181"/>
      <c r="D82" s="179"/>
      <c r="E82" s="180"/>
      <c r="F82" s="172"/>
      <c r="G82" s="66">
        <f t="shared" ca="1" si="15"/>
        <v>0</v>
      </c>
      <c r="H82" s="62">
        <f t="shared" ca="1" si="14"/>
        <v>0</v>
      </c>
      <c r="I82" s="27"/>
      <c r="J82" s="62">
        <f t="shared" ca="1" si="13"/>
        <v>0</v>
      </c>
      <c r="K82" s="62">
        <f t="shared" ca="1" si="13"/>
        <v>0</v>
      </c>
      <c r="L82" s="62">
        <f t="shared" ca="1" si="13"/>
        <v>0</v>
      </c>
      <c r="M82" s="62">
        <f t="shared" ca="1" si="13"/>
        <v>0</v>
      </c>
      <c r="N82" s="62">
        <f t="shared" ca="1" si="13"/>
        <v>0</v>
      </c>
      <c r="O82" s="62">
        <f t="shared" ca="1" si="13"/>
        <v>0</v>
      </c>
      <c r="P82" s="62">
        <f t="shared" ca="1" si="13"/>
        <v>0</v>
      </c>
      <c r="Q82" s="62">
        <f t="shared" ca="1" si="13"/>
        <v>0</v>
      </c>
      <c r="R82" s="62">
        <f t="shared" ca="1" si="13"/>
        <v>0</v>
      </c>
      <c r="S82" s="62">
        <f t="shared" ca="1" si="13"/>
        <v>0</v>
      </c>
      <c r="T82" s="62">
        <f t="shared" ca="1" si="13"/>
        <v>0</v>
      </c>
      <c r="U82" s="62">
        <f t="shared" ca="1" si="13"/>
        <v>0</v>
      </c>
      <c r="V82" s="62">
        <f t="shared" ca="1" si="13"/>
        <v>0</v>
      </c>
      <c r="W82" s="62">
        <f t="shared" ca="1" si="13"/>
        <v>0</v>
      </c>
      <c r="X82" s="62">
        <f t="shared" ca="1" si="13"/>
        <v>0</v>
      </c>
      <c r="Y82" s="62">
        <f t="shared" ca="1" si="12"/>
        <v>0</v>
      </c>
      <c r="Z82" s="62">
        <f t="shared" ca="1" si="12"/>
        <v>0</v>
      </c>
      <c r="AA82" s="62">
        <f t="shared" ca="1" si="12"/>
        <v>0</v>
      </c>
      <c r="AB82" s="62">
        <f t="shared" ca="1" si="12"/>
        <v>0</v>
      </c>
      <c r="AC82" s="62">
        <f t="shared" ca="1" si="12"/>
        <v>0</v>
      </c>
      <c r="AD82" s="62">
        <f t="shared" ca="1" si="12"/>
        <v>0</v>
      </c>
      <c r="AE82" s="62">
        <f t="shared" ca="1" si="12"/>
        <v>0</v>
      </c>
      <c r="AF82" s="62">
        <f t="shared" ca="1" si="12"/>
        <v>0</v>
      </c>
      <c r="AG82" s="62">
        <f t="shared" ca="1" si="12"/>
        <v>0</v>
      </c>
      <c r="AH82" s="62">
        <f t="shared" ca="1" si="12"/>
        <v>0</v>
      </c>
      <c r="AI82" s="62">
        <f t="shared" ca="1" si="12"/>
        <v>0</v>
      </c>
      <c r="AJ82" s="62">
        <f t="shared" ca="1" si="12"/>
        <v>0</v>
      </c>
      <c r="AK82" s="62">
        <f t="shared" ca="1" si="12"/>
        <v>0</v>
      </c>
      <c r="AL82" s="62">
        <f t="shared" ca="1" si="12"/>
        <v>0</v>
      </c>
      <c r="AM82" s="62">
        <f t="shared" ca="1" si="12"/>
        <v>0</v>
      </c>
      <c r="AN82" s="62">
        <f t="shared" ca="1" si="12"/>
        <v>0</v>
      </c>
      <c r="AR82" s="63"/>
    </row>
    <row r="83" spans="1:44" ht="15.75">
      <c r="A83" s="177"/>
      <c r="B83" s="178"/>
      <c r="C83" s="181"/>
      <c r="D83" s="179"/>
      <c r="E83" s="180"/>
      <c r="F83" s="172"/>
      <c r="G83" s="66">
        <f t="shared" ca="1" si="15"/>
        <v>0</v>
      </c>
      <c r="H83" s="62">
        <f t="shared" ca="1" si="14"/>
        <v>0</v>
      </c>
      <c r="I83" s="27"/>
      <c r="J83" s="62">
        <f t="shared" ca="1" si="13"/>
        <v>0</v>
      </c>
      <c r="K83" s="62">
        <f t="shared" ca="1" si="13"/>
        <v>0</v>
      </c>
      <c r="L83" s="62">
        <f t="shared" ca="1" si="13"/>
        <v>0</v>
      </c>
      <c r="M83" s="62">
        <f t="shared" ca="1" si="13"/>
        <v>0</v>
      </c>
      <c r="N83" s="62">
        <f t="shared" ca="1" si="13"/>
        <v>0</v>
      </c>
      <c r="O83" s="62">
        <f t="shared" ca="1" si="13"/>
        <v>0</v>
      </c>
      <c r="P83" s="62">
        <f t="shared" ca="1" si="13"/>
        <v>0</v>
      </c>
      <c r="Q83" s="62">
        <f t="shared" ca="1" si="13"/>
        <v>0</v>
      </c>
      <c r="R83" s="62">
        <f t="shared" ca="1" si="13"/>
        <v>0</v>
      </c>
      <c r="S83" s="62">
        <f t="shared" ca="1" si="13"/>
        <v>0</v>
      </c>
      <c r="T83" s="62">
        <f t="shared" ca="1" si="13"/>
        <v>0</v>
      </c>
      <c r="U83" s="62">
        <f t="shared" ca="1" si="13"/>
        <v>0</v>
      </c>
      <c r="V83" s="62">
        <f t="shared" ca="1" si="13"/>
        <v>0</v>
      </c>
      <c r="W83" s="62">
        <f t="shared" ca="1" si="13"/>
        <v>0</v>
      </c>
      <c r="X83" s="62">
        <f t="shared" ca="1" si="13"/>
        <v>0</v>
      </c>
      <c r="Y83" s="62">
        <f t="shared" ca="1" si="12"/>
        <v>0</v>
      </c>
      <c r="Z83" s="62">
        <f t="shared" ca="1" si="12"/>
        <v>0</v>
      </c>
      <c r="AA83" s="62">
        <f t="shared" ca="1" si="12"/>
        <v>0</v>
      </c>
      <c r="AB83" s="62">
        <f t="shared" ca="1" si="12"/>
        <v>0</v>
      </c>
      <c r="AC83" s="62">
        <f t="shared" ca="1" si="12"/>
        <v>0</v>
      </c>
      <c r="AD83" s="62">
        <f t="shared" ca="1" si="12"/>
        <v>0</v>
      </c>
      <c r="AE83" s="62">
        <f t="shared" ca="1" si="12"/>
        <v>0</v>
      </c>
      <c r="AF83" s="62">
        <f t="shared" ca="1" si="12"/>
        <v>0</v>
      </c>
      <c r="AG83" s="62">
        <f t="shared" ca="1" si="12"/>
        <v>0</v>
      </c>
      <c r="AH83" s="62">
        <f t="shared" ca="1" si="12"/>
        <v>0</v>
      </c>
      <c r="AI83" s="62">
        <f t="shared" ca="1" si="12"/>
        <v>0</v>
      </c>
      <c r="AJ83" s="62">
        <f t="shared" ca="1" si="12"/>
        <v>0</v>
      </c>
      <c r="AK83" s="62">
        <f t="shared" ca="1" si="12"/>
        <v>0</v>
      </c>
      <c r="AL83" s="62">
        <f t="shared" ca="1" si="12"/>
        <v>0</v>
      </c>
      <c r="AM83" s="62">
        <f t="shared" ca="1" si="12"/>
        <v>0</v>
      </c>
      <c r="AN83" s="62">
        <f t="shared" ca="1" si="12"/>
        <v>0</v>
      </c>
      <c r="AR83" s="63"/>
    </row>
    <row r="84" spans="1:44" ht="15.75">
      <c r="A84" s="177"/>
      <c r="B84" s="178"/>
      <c r="C84" s="181"/>
      <c r="D84" s="179"/>
      <c r="E84" s="180"/>
      <c r="F84" s="172"/>
      <c r="G84" s="66">
        <f t="shared" ca="1" si="15"/>
        <v>0</v>
      </c>
      <c r="H84" s="62">
        <f t="shared" ca="1" si="14"/>
        <v>0</v>
      </c>
      <c r="I84" s="27"/>
      <c r="J84" s="62">
        <f t="shared" ca="1" si="13"/>
        <v>0</v>
      </c>
      <c r="K84" s="62">
        <f t="shared" ca="1" si="13"/>
        <v>0</v>
      </c>
      <c r="L84" s="62">
        <f t="shared" ca="1" si="13"/>
        <v>0</v>
      </c>
      <c r="M84" s="62">
        <f t="shared" ca="1" si="13"/>
        <v>0</v>
      </c>
      <c r="N84" s="62">
        <f t="shared" ca="1" si="13"/>
        <v>0</v>
      </c>
      <c r="O84" s="62">
        <f t="shared" ca="1" si="13"/>
        <v>0</v>
      </c>
      <c r="P84" s="62">
        <f t="shared" ca="1" si="13"/>
        <v>0</v>
      </c>
      <c r="Q84" s="62">
        <f t="shared" ca="1" si="13"/>
        <v>0</v>
      </c>
      <c r="R84" s="62">
        <f t="shared" ca="1" si="13"/>
        <v>0</v>
      </c>
      <c r="S84" s="62">
        <f t="shared" ca="1" si="13"/>
        <v>0</v>
      </c>
      <c r="T84" s="62">
        <f t="shared" ca="1" si="13"/>
        <v>0</v>
      </c>
      <c r="U84" s="62">
        <f t="shared" ca="1" si="13"/>
        <v>0</v>
      </c>
      <c r="V84" s="62">
        <f t="shared" ca="1" si="13"/>
        <v>0</v>
      </c>
      <c r="W84" s="62">
        <f t="shared" ca="1" si="13"/>
        <v>0</v>
      </c>
      <c r="X84" s="62">
        <f t="shared" ca="1" si="13"/>
        <v>0</v>
      </c>
      <c r="Y84" s="62">
        <f t="shared" ca="1" si="12"/>
        <v>0</v>
      </c>
      <c r="Z84" s="62">
        <f t="shared" ca="1" si="12"/>
        <v>0</v>
      </c>
      <c r="AA84" s="62">
        <f t="shared" ca="1" si="12"/>
        <v>0</v>
      </c>
      <c r="AB84" s="62">
        <f t="shared" ca="1" si="12"/>
        <v>0</v>
      </c>
      <c r="AC84" s="62">
        <f t="shared" ca="1" si="12"/>
        <v>0</v>
      </c>
      <c r="AD84" s="62">
        <f t="shared" ca="1" si="12"/>
        <v>0</v>
      </c>
      <c r="AE84" s="62">
        <f t="shared" ca="1" si="12"/>
        <v>0</v>
      </c>
      <c r="AF84" s="62">
        <f t="shared" ca="1" si="12"/>
        <v>0</v>
      </c>
      <c r="AG84" s="62">
        <f t="shared" ca="1" si="12"/>
        <v>0</v>
      </c>
      <c r="AH84" s="62">
        <f t="shared" ca="1" si="12"/>
        <v>0</v>
      </c>
      <c r="AI84" s="62">
        <f t="shared" ca="1" si="12"/>
        <v>0</v>
      </c>
      <c r="AJ84" s="62">
        <f t="shared" ca="1" si="12"/>
        <v>0</v>
      </c>
      <c r="AK84" s="62">
        <f t="shared" ca="1" si="12"/>
        <v>0</v>
      </c>
      <c r="AL84" s="62">
        <f t="shared" ca="1" si="12"/>
        <v>0</v>
      </c>
      <c r="AM84" s="62">
        <f t="shared" ca="1" si="12"/>
        <v>0</v>
      </c>
      <c r="AN84" s="62">
        <f t="shared" ca="1" si="12"/>
        <v>0</v>
      </c>
      <c r="AR84" s="63"/>
    </row>
    <row r="85" spans="1:44" ht="15.75">
      <c r="A85" s="177"/>
      <c r="B85" s="178"/>
      <c r="C85" s="181"/>
      <c r="D85" s="179"/>
      <c r="E85" s="180"/>
      <c r="F85" s="172"/>
      <c r="G85" s="66">
        <f t="shared" ca="1" si="15"/>
        <v>0</v>
      </c>
      <c r="H85" s="62">
        <f t="shared" ca="1" si="14"/>
        <v>0</v>
      </c>
      <c r="I85" s="27"/>
      <c r="J85" s="62">
        <f t="shared" ca="1" si="13"/>
        <v>0</v>
      </c>
      <c r="K85" s="62">
        <f t="shared" ca="1" si="13"/>
        <v>0</v>
      </c>
      <c r="L85" s="62">
        <f t="shared" ca="1" si="13"/>
        <v>0</v>
      </c>
      <c r="M85" s="62">
        <f t="shared" ca="1" si="13"/>
        <v>0</v>
      </c>
      <c r="N85" s="62">
        <f t="shared" ca="1" si="13"/>
        <v>0</v>
      </c>
      <c r="O85" s="62">
        <f t="shared" ca="1" si="13"/>
        <v>0</v>
      </c>
      <c r="P85" s="62">
        <f t="shared" ca="1" si="13"/>
        <v>0</v>
      </c>
      <c r="Q85" s="62">
        <f t="shared" ca="1" si="13"/>
        <v>0</v>
      </c>
      <c r="R85" s="62">
        <f t="shared" ca="1" si="13"/>
        <v>0</v>
      </c>
      <c r="S85" s="62">
        <f t="shared" ca="1" si="13"/>
        <v>0</v>
      </c>
      <c r="T85" s="62">
        <f t="shared" ca="1" si="13"/>
        <v>0</v>
      </c>
      <c r="U85" s="62">
        <f t="shared" ca="1" si="13"/>
        <v>0</v>
      </c>
      <c r="V85" s="62">
        <f t="shared" ca="1" si="13"/>
        <v>0</v>
      </c>
      <c r="W85" s="62">
        <f t="shared" ca="1" si="13"/>
        <v>0</v>
      </c>
      <c r="X85" s="62">
        <f t="shared" ca="1" si="13"/>
        <v>0</v>
      </c>
      <c r="Y85" s="62">
        <f t="shared" ca="1" si="12"/>
        <v>0</v>
      </c>
      <c r="Z85" s="62">
        <f t="shared" ca="1" si="12"/>
        <v>0</v>
      </c>
      <c r="AA85" s="62">
        <f t="shared" ca="1" si="12"/>
        <v>0</v>
      </c>
      <c r="AB85" s="62">
        <f t="shared" ca="1" si="12"/>
        <v>0</v>
      </c>
      <c r="AC85" s="62">
        <f t="shared" ca="1" si="12"/>
        <v>0</v>
      </c>
      <c r="AD85" s="62">
        <f t="shared" ca="1" si="12"/>
        <v>0</v>
      </c>
      <c r="AE85" s="62">
        <f t="shared" ca="1" si="12"/>
        <v>0</v>
      </c>
      <c r="AF85" s="62">
        <f t="shared" ca="1" si="12"/>
        <v>0</v>
      </c>
      <c r="AG85" s="62">
        <f t="shared" ca="1" si="12"/>
        <v>0</v>
      </c>
      <c r="AH85" s="62">
        <f t="shared" ca="1" si="12"/>
        <v>0</v>
      </c>
      <c r="AI85" s="62">
        <f t="shared" ca="1" si="12"/>
        <v>0</v>
      </c>
      <c r="AJ85" s="62">
        <f t="shared" ca="1" si="12"/>
        <v>0</v>
      </c>
      <c r="AK85" s="62">
        <f t="shared" ca="1" si="12"/>
        <v>0</v>
      </c>
      <c r="AL85" s="62">
        <f t="shared" ca="1" si="12"/>
        <v>0</v>
      </c>
      <c r="AM85" s="62">
        <f t="shared" ca="1" si="12"/>
        <v>0</v>
      </c>
      <c r="AN85" s="62">
        <f t="shared" ca="1" si="12"/>
        <v>0</v>
      </c>
      <c r="AR85" s="63"/>
    </row>
    <row r="86" spans="1:44" ht="15.75">
      <c r="A86" s="177"/>
      <c r="B86" s="178"/>
      <c r="C86" s="181"/>
      <c r="D86" s="179"/>
      <c r="E86" s="180"/>
      <c r="F86" s="172"/>
      <c r="G86" s="66">
        <f t="shared" ca="1" si="15"/>
        <v>0</v>
      </c>
      <c r="H86" s="62">
        <f t="shared" ca="1" si="14"/>
        <v>0</v>
      </c>
      <c r="I86" s="27"/>
      <c r="J86" s="62">
        <f t="shared" ca="1" si="13"/>
        <v>0</v>
      </c>
      <c r="K86" s="62">
        <f t="shared" ca="1" si="13"/>
        <v>0</v>
      </c>
      <c r="L86" s="62">
        <f t="shared" ca="1" si="13"/>
        <v>0</v>
      </c>
      <c r="M86" s="62">
        <f t="shared" ca="1" si="13"/>
        <v>0</v>
      </c>
      <c r="N86" s="62">
        <f t="shared" ca="1" si="13"/>
        <v>0</v>
      </c>
      <c r="O86" s="62">
        <f t="shared" ca="1" si="13"/>
        <v>0</v>
      </c>
      <c r="P86" s="62">
        <f t="shared" ca="1" si="13"/>
        <v>0</v>
      </c>
      <c r="Q86" s="62">
        <f t="shared" ca="1" si="13"/>
        <v>0</v>
      </c>
      <c r="R86" s="62">
        <f t="shared" ca="1" si="13"/>
        <v>0</v>
      </c>
      <c r="S86" s="62">
        <f t="shared" ca="1" si="13"/>
        <v>0</v>
      </c>
      <c r="T86" s="62">
        <f t="shared" ca="1" si="13"/>
        <v>0</v>
      </c>
      <c r="U86" s="62">
        <f t="shared" ca="1" si="13"/>
        <v>0</v>
      </c>
      <c r="V86" s="62">
        <f t="shared" ca="1" si="13"/>
        <v>0</v>
      </c>
      <c r="W86" s="62">
        <f t="shared" ca="1" si="13"/>
        <v>0</v>
      </c>
      <c r="X86" s="62">
        <f t="shared" ca="1" si="13"/>
        <v>0</v>
      </c>
      <c r="Y86" s="62">
        <f t="shared" ca="1" si="12"/>
        <v>0</v>
      </c>
      <c r="Z86" s="62">
        <f t="shared" ca="1" si="12"/>
        <v>0</v>
      </c>
      <c r="AA86" s="62">
        <f t="shared" ca="1" si="12"/>
        <v>0</v>
      </c>
      <c r="AB86" s="62">
        <f t="shared" ca="1" si="12"/>
        <v>0</v>
      </c>
      <c r="AC86" s="62">
        <f t="shared" ca="1" si="12"/>
        <v>0</v>
      </c>
      <c r="AD86" s="62">
        <f t="shared" ca="1" si="12"/>
        <v>0</v>
      </c>
      <c r="AE86" s="62">
        <f t="shared" ca="1" si="12"/>
        <v>0</v>
      </c>
      <c r="AF86" s="62">
        <f t="shared" ca="1" si="12"/>
        <v>0</v>
      </c>
      <c r="AG86" s="62">
        <f t="shared" ca="1" si="12"/>
        <v>0</v>
      </c>
      <c r="AH86" s="62">
        <f t="shared" ca="1" si="12"/>
        <v>0</v>
      </c>
      <c r="AI86" s="62">
        <f t="shared" ca="1" si="12"/>
        <v>0</v>
      </c>
      <c r="AJ86" s="62">
        <f t="shared" ca="1" si="12"/>
        <v>0</v>
      </c>
      <c r="AK86" s="62">
        <f t="shared" ca="1" si="12"/>
        <v>0</v>
      </c>
      <c r="AL86" s="62">
        <f t="shared" ca="1" si="12"/>
        <v>0</v>
      </c>
      <c r="AM86" s="62">
        <f t="shared" ca="1" si="12"/>
        <v>0</v>
      </c>
      <c r="AN86" s="62">
        <f t="shared" ca="1" si="12"/>
        <v>0</v>
      </c>
      <c r="AR86" s="63"/>
    </row>
    <row r="87" spans="1:44" ht="15.75">
      <c r="A87" s="177"/>
      <c r="B87" s="178"/>
      <c r="C87" s="181"/>
      <c r="D87" s="179"/>
      <c r="E87" s="180"/>
      <c r="F87" s="172"/>
      <c r="G87" s="66">
        <f t="shared" ca="1" si="15"/>
        <v>0</v>
      </c>
      <c r="H87" s="62">
        <f t="shared" ca="1" si="14"/>
        <v>0</v>
      </c>
      <c r="I87" s="27"/>
      <c r="J87" s="62">
        <f t="shared" ca="1" si="13"/>
        <v>0</v>
      </c>
      <c r="K87" s="62">
        <f t="shared" ca="1" si="13"/>
        <v>0</v>
      </c>
      <c r="L87" s="62">
        <f t="shared" ca="1" si="13"/>
        <v>0</v>
      </c>
      <c r="M87" s="62">
        <f t="shared" ca="1" si="13"/>
        <v>0</v>
      </c>
      <c r="N87" s="62">
        <f t="shared" ca="1" si="13"/>
        <v>0</v>
      </c>
      <c r="O87" s="62">
        <f t="shared" ca="1" si="13"/>
        <v>0</v>
      </c>
      <c r="P87" s="62">
        <f t="shared" ca="1" si="13"/>
        <v>0</v>
      </c>
      <c r="Q87" s="62">
        <f t="shared" ca="1" si="13"/>
        <v>0</v>
      </c>
      <c r="R87" s="62">
        <f t="shared" ca="1" si="13"/>
        <v>0</v>
      </c>
      <c r="S87" s="62">
        <f t="shared" ca="1" si="13"/>
        <v>0</v>
      </c>
      <c r="T87" s="62">
        <f t="shared" ca="1" si="13"/>
        <v>0</v>
      </c>
      <c r="U87" s="62">
        <f t="shared" ca="1" si="13"/>
        <v>0</v>
      </c>
      <c r="V87" s="62">
        <f t="shared" ca="1" si="13"/>
        <v>0</v>
      </c>
      <c r="W87" s="62">
        <f t="shared" ca="1" si="13"/>
        <v>0</v>
      </c>
      <c r="X87" s="62">
        <f t="shared" ca="1" si="13"/>
        <v>0</v>
      </c>
      <c r="Y87" s="62">
        <f t="shared" ca="1" si="12"/>
        <v>0</v>
      </c>
      <c r="Z87" s="62">
        <f t="shared" ca="1" si="12"/>
        <v>0</v>
      </c>
      <c r="AA87" s="62">
        <f t="shared" ca="1" si="12"/>
        <v>0</v>
      </c>
      <c r="AB87" s="62">
        <f t="shared" ca="1" si="12"/>
        <v>0</v>
      </c>
      <c r="AC87" s="62">
        <f t="shared" ca="1" si="12"/>
        <v>0</v>
      </c>
      <c r="AD87" s="62">
        <f t="shared" ca="1" si="12"/>
        <v>0</v>
      </c>
      <c r="AE87" s="62">
        <f t="shared" ca="1" si="12"/>
        <v>0</v>
      </c>
      <c r="AF87" s="62">
        <f t="shared" ca="1" si="12"/>
        <v>0</v>
      </c>
      <c r="AG87" s="62">
        <f t="shared" ca="1" si="12"/>
        <v>0</v>
      </c>
      <c r="AH87" s="62">
        <f t="shared" ca="1" si="12"/>
        <v>0</v>
      </c>
      <c r="AI87" s="62">
        <f t="shared" ca="1" si="12"/>
        <v>0</v>
      </c>
      <c r="AJ87" s="62">
        <f t="shared" ca="1" si="12"/>
        <v>0</v>
      </c>
      <c r="AK87" s="62">
        <f t="shared" ca="1" si="12"/>
        <v>0</v>
      </c>
      <c r="AL87" s="62">
        <f t="shared" ca="1" si="12"/>
        <v>0</v>
      </c>
      <c r="AM87" s="62">
        <f t="shared" ca="1" si="12"/>
        <v>0</v>
      </c>
      <c r="AN87" s="62">
        <f t="shared" ca="1" si="12"/>
        <v>0</v>
      </c>
      <c r="AR87" s="63"/>
    </row>
    <row r="88" spans="1:44" ht="15.75">
      <c r="A88" s="177"/>
      <c r="B88" s="178"/>
      <c r="C88" s="181"/>
      <c r="D88" s="179"/>
      <c r="E88" s="180"/>
      <c r="F88" s="172"/>
      <c r="G88" s="66">
        <f t="shared" ca="1" si="15"/>
        <v>0</v>
      </c>
      <c r="H88" s="62">
        <f t="shared" ca="1" si="14"/>
        <v>0</v>
      </c>
      <c r="I88" s="27"/>
      <c r="J88" s="62">
        <f t="shared" ca="1" si="13"/>
        <v>0</v>
      </c>
      <c r="K88" s="62">
        <f t="shared" ca="1" si="13"/>
        <v>0</v>
      </c>
      <c r="L88" s="62">
        <f t="shared" ca="1" si="13"/>
        <v>0</v>
      </c>
      <c r="M88" s="62">
        <f t="shared" ca="1" si="13"/>
        <v>0</v>
      </c>
      <c r="N88" s="62">
        <f t="shared" ca="1" si="13"/>
        <v>0</v>
      </c>
      <c r="O88" s="62">
        <f t="shared" ca="1" si="13"/>
        <v>0</v>
      </c>
      <c r="P88" s="62">
        <f t="shared" ca="1" si="13"/>
        <v>0</v>
      </c>
      <c r="Q88" s="62">
        <f t="shared" ca="1" si="13"/>
        <v>0</v>
      </c>
      <c r="R88" s="62">
        <f t="shared" ca="1" si="13"/>
        <v>0</v>
      </c>
      <c r="S88" s="62">
        <f t="shared" ca="1" si="13"/>
        <v>0</v>
      </c>
      <c r="T88" s="62">
        <f t="shared" ca="1" si="13"/>
        <v>0</v>
      </c>
      <c r="U88" s="62">
        <f t="shared" ca="1" si="13"/>
        <v>0</v>
      </c>
      <c r="V88" s="62">
        <f t="shared" ca="1" si="13"/>
        <v>0</v>
      </c>
      <c r="W88" s="62">
        <f t="shared" ca="1" si="13"/>
        <v>0</v>
      </c>
      <c r="X88" s="62">
        <f t="shared" ca="1" si="13"/>
        <v>0</v>
      </c>
      <c r="Y88" s="62">
        <f t="shared" ca="1" si="12"/>
        <v>0</v>
      </c>
      <c r="Z88" s="62">
        <f t="shared" ca="1" si="12"/>
        <v>0</v>
      </c>
      <c r="AA88" s="62">
        <f t="shared" ca="1" si="12"/>
        <v>0</v>
      </c>
      <c r="AB88" s="62">
        <f t="shared" ca="1" si="12"/>
        <v>0</v>
      </c>
      <c r="AC88" s="62">
        <f t="shared" ca="1" si="12"/>
        <v>0</v>
      </c>
      <c r="AD88" s="62">
        <f t="shared" ca="1" si="12"/>
        <v>0</v>
      </c>
      <c r="AE88" s="62">
        <f t="shared" ca="1" si="12"/>
        <v>0</v>
      </c>
      <c r="AF88" s="62">
        <f t="shared" ca="1" si="12"/>
        <v>0</v>
      </c>
      <c r="AG88" s="62">
        <f t="shared" ca="1" si="12"/>
        <v>0</v>
      </c>
      <c r="AH88" s="62">
        <f t="shared" ca="1" si="12"/>
        <v>0</v>
      </c>
      <c r="AI88" s="62">
        <f t="shared" ca="1" si="12"/>
        <v>0</v>
      </c>
      <c r="AJ88" s="62">
        <f t="shared" ca="1" si="12"/>
        <v>0</v>
      </c>
      <c r="AK88" s="62">
        <f t="shared" ca="1" si="12"/>
        <v>0</v>
      </c>
      <c r="AL88" s="62">
        <f t="shared" ca="1" si="12"/>
        <v>0</v>
      </c>
      <c r="AM88" s="62">
        <f t="shared" ca="1" si="12"/>
        <v>0</v>
      </c>
      <c r="AN88" s="62">
        <f t="shared" ref="AN88:AN96" ca="1" si="16">IF(ABS($E88-AN$9)&lt;0.5,$D88,0)</f>
        <v>0</v>
      </c>
      <c r="AR88" s="63"/>
    </row>
    <row r="89" spans="1:44" ht="15.75">
      <c r="A89" s="177"/>
      <c r="B89" s="178"/>
      <c r="C89" s="181"/>
      <c r="D89" s="179"/>
      <c r="E89" s="180"/>
      <c r="F89" s="172"/>
      <c r="G89" s="66">
        <f t="shared" ca="1" si="15"/>
        <v>0</v>
      </c>
      <c r="H89" s="62">
        <f t="shared" ca="1" si="14"/>
        <v>0</v>
      </c>
      <c r="I89" s="27"/>
      <c r="J89" s="62">
        <f t="shared" ca="1" si="13"/>
        <v>0</v>
      </c>
      <c r="K89" s="62">
        <f t="shared" ca="1" si="13"/>
        <v>0</v>
      </c>
      <c r="L89" s="62">
        <f t="shared" ca="1" si="13"/>
        <v>0</v>
      </c>
      <c r="M89" s="62">
        <f t="shared" ca="1" si="13"/>
        <v>0</v>
      </c>
      <c r="N89" s="62">
        <f t="shared" ca="1" si="13"/>
        <v>0</v>
      </c>
      <c r="O89" s="62">
        <f t="shared" ca="1" si="13"/>
        <v>0</v>
      </c>
      <c r="P89" s="62">
        <f t="shared" ca="1" si="13"/>
        <v>0</v>
      </c>
      <c r="Q89" s="62">
        <f t="shared" ca="1" si="13"/>
        <v>0</v>
      </c>
      <c r="R89" s="62">
        <f t="shared" ca="1" si="13"/>
        <v>0</v>
      </c>
      <c r="S89" s="62">
        <f t="shared" ca="1" si="13"/>
        <v>0</v>
      </c>
      <c r="T89" s="62">
        <f t="shared" ca="1" si="13"/>
        <v>0</v>
      </c>
      <c r="U89" s="62">
        <f t="shared" ca="1" si="13"/>
        <v>0</v>
      </c>
      <c r="V89" s="62">
        <f t="shared" ca="1" si="13"/>
        <v>0</v>
      </c>
      <c r="W89" s="62">
        <f t="shared" ca="1" si="13"/>
        <v>0</v>
      </c>
      <c r="X89" s="62">
        <f t="shared" ca="1" si="13"/>
        <v>0</v>
      </c>
      <c r="Y89" s="62">
        <f t="shared" ca="1" si="13"/>
        <v>0</v>
      </c>
      <c r="Z89" s="62">
        <f t="shared" ref="Z89:AM96" ca="1" si="17">IF(ABS($E89-Z$9)&lt;0.5,$D89,0)</f>
        <v>0</v>
      </c>
      <c r="AA89" s="62">
        <f t="shared" ca="1" si="17"/>
        <v>0</v>
      </c>
      <c r="AB89" s="62">
        <f t="shared" ca="1" si="17"/>
        <v>0</v>
      </c>
      <c r="AC89" s="62">
        <f t="shared" ca="1" si="17"/>
        <v>0</v>
      </c>
      <c r="AD89" s="62">
        <f t="shared" ca="1" si="17"/>
        <v>0</v>
      </c>
      <c r="AE89" s="62">
        <f t="shared" ca="1" si="17"/>
        <v>0</v>
      </c>
      <c r="AF89" s="62">
        <f t="shared" ca="1" si="17"/>
        <v>0</v>
      </c>
      <c r="AG89" s="62">
        <f t="shared" ca="1" si="17"/>
        <v>0</v>
      </c>
      <c r="AH89" s="62">
        <f t="shared" ca="1" si="17"/>
        <v>0</v>
      </c>
      <c r="AI89" s="62">
        <f t="shared" ca="1" si="17"/>
        <v>0</v>
      </c>
      <c r="AJ89" s="62">
        <f t="shared" ca="1" si="17"/>
        <v>0</v>
      </c>
      <c r="AK89" s="62">
        <f t="shared" ca="1" si="17"/>
        <v>0</v>
      </c>
      <c r="AL89" s="62">
        <f t="shared" ca="1" si="17"/>
        <v>0</v>
      </c>
      <c r="AM89" s="62">
        <f t="shared" ca="1" si="17"/>
        <v>0</v>
      </c>
      <c r="AN89" s="62">
        <f t="shared" ca="1" si="16"/>
        <v>0</v>
      </c>
      <c r="AR89" s="63"/>
    </row>
    <row r="90" spans="1:44" ht="15.75">
      <c r="A90" s="177"/>
      <c r="B90" s="178"/>
      <c r="C90" s="181"/>
      <c r="D90" s="179"/>
      <c r="E90" s="180"/>
      <c r="F90" s="172"/>
      <c r="G90" s="66">
        <f t="shared" ca="1" si="15"/>
        <v>0</v>
      </c>
      <c r="H90" s="62">
        <f t="shared" ca="1" si="14"/>
        <v>0</v>
      </c>
      <c r="I90" s="27"/>
      <c r="J90" s="62">
        <f t="shared" ref="J90:Y96" ca="1" si="18">IF(ABS($E90-J$9)&lt;0.5,$D90,0)</f>
        <v>0</v>
      </c>
      <c r="K90" s="62">
        <f t="shared" ca="1" si="18"/>
        <v>0</v>
      </c>
      <c r="L90" s="62">
        <f t="shared" ca="1" si="18"/>
        <v>0</v>
      </c>
      <c r="M90" s="62">
        <f t="shared" ca="1" si="18"/>
        <v>0</v>
      </c>
      <c r="N90" s="62">
        <f t="shared" ca="1" si="18"/>
        <v>0</v>
      </c>
      <c r="O90" s="62">
        <f t="shared" ca="1" si="18"/>
        <v>0</v>
      </c>
      <c r="P90" s="62">
        <f t="shared" ca="1" si="18"/>
        <v>0</v>
      </c>
      <c r="Q90" s="62">
        <f t="shared" ca="1" si="18"/>
        <v>0</v>
      </c>
      <c r="R90" s="62">
        <f t="shared" ca="1" si="18"/>
        <v>0</v>
      </c>
      <c r="S90" s="62">
        <f t="shared" ca="1" si="18"/>
        <v>0</v>
      </c>
      <c r="T90" s="62">
        <f t="shared" ca="1" si="18"/>
        <v>0</v>
      </c>
      <c r="U90" s="62">
        <f t="shared" ca="1" si="18"/>
        <v>0</v>
      </c>
      <c r="V90" s="62">
        <f t="shared" ca="1" si="18"/>
        <v>0</v>
      </c>
      <c r="W90" s="62">
        <f t="shared" ca="1" si="18"/>
        <v>0</v>
      </c>
      <c r="X90" s="62">
        <f t="shared" ca="1" si="18"/>
        <v>0</v>
      </c>
      <c r="Y90" s="62">
        <f t="shared" ca="1" si="18"/>
        <v>0</v>
      </c>
      <c r="Z90" s="62">
        <f t="shared" ca="1" si="17"/>
        <v>0</v>
      </c>
      <c r="AA90" s="62">
        <f t="shared" ca="1" si="17"/>
        <v>0</v>
      </c>
      <c r="AB90" s="62">
        <f t="shared" ca="1" si="17"/>
        <v>0</v>
      </c>
      <c r="AC90" s="62">
        <f t="shared" ca="1" si="17"/>
        <v>0</v>
      </c>
      <c r="AD90" s="62">
        <f t="shared" ca="1" si="17"/>
        <v>0</v>
      </c>
      <c r="AE90" s="62">
        <f t="shared" ca="1" si="17"/>
        <v>0</v>
      </c>
      <c r="AF90" s="62">
        <f t="shared" ca="1" si="17"/>
        <v>0</v>
      </c>
      <c r="AG90" s="62">
        <f t="shared" ca="1" si="17"/>
        <v>0</v>
      </c>
      <c r="AH90" s="62">
        <f t="shared" ca="1" si="17"/>
        <v>0</v>
      </c>
      <c r="AI90" s="62">
        <f t="shared" ca="1" si="17"/>
        <v>0</v>
      </c>
      <c r="AJ90" s="62">
        <f t="shared" ca="1" si="17"/>
        <v>0</v>
      </c>
      <c r="AK90" s="62">
        <f t="shared" ca="1" si="17"/>
        <v>0</v>
      </c>
      <c r="AL90" s="62">
        <f t="shared" ca="1" si="17"/>
        <v>0</v>
      </c>
      <c r="AM90" s="62">
        <f t="shared" ca="1" si="17"/>
        <v>0</v>
      </c>
      <c r="AN90" s="62">
        <f t="shared" ca="1" si="16"/>
        <v>0</v>
      </c>
      <c r="AR90" s="63"/>
    </row>
    <row r="91" spans="1:44" ht="15.75">
      <c r="A91" s="177"/>
      <c r="B91" s="178"/>
      <c r="C91" s="181"/>
      <c r="D91" s="179"/>
      <c r="E91" s="180"/>
      <c r="F91" s="172"/>
      <c r="G91" s="66">
        <f t="shared" ca="1" si="15"/>
        <v>0</v>
      </c>
      <c r="H91" s="62">
        <f t="shared" ca="1" si="14"/>
        <v>0</v>
      </c>
      <c r="I91" s="27"/>
      <c r="J91" s="62">
        <f t="shared" ca="1" si="18"/>
        <v>0</v>
      </c>
      <c r="K91" s="62">
        <f t="shared" ca="1" si="18"/>
        <v>0</v>
      </c>
      <c r="L91" s="62">
        <f t="shared" ca="1" si="18"/>
        <v>0</v>
      </c>
      <c r="M91" s="62">
        <f t="shared" ca="1" si="18"/>
        <v>0</v>
      </c>
      <c r="N91" s="62">
        <f t="shared" ca="1" si="18"/>
        <v>0</v>
      </c>
      <c r="O91" s="62">
        <f t="shared" ca="1" si="18"/>
        <v>0</v>
      </c>
      <c r="P91" s="62">
        <f t="shared" ca="1" si="18"/>
        <v>0</v>
      </c>
      <c r="Q91" s="62">
        <f t="shared" ca="1" si="18"/>
        <v>0</v>
      </c>
      <c r="R91" s="62">
        <f t="shared" ca="1" si="18"/>
        <v>0</v>
      </c>
      <c r="S91" s="62">
        <f t="shared" ca="1" si="18"/>
        <v>0</v>
      </c>
      <c r="T91" s="62">
        <f t="shared" ca="1" si="18"/>
        <v>0</v>
      </c>
      <c r="U91" s="62">
        <f t="shared" ca="1" si="18"/>
        <v>0</v>
      </c>
      <c r="V91" s="62">
        <f t="shared" ca="1" si="18"/>
        <v>0</v>
      </c>
      <c r="W91" s="62">
        <f t="shared" ca="1" si="18"/>
        <v>0</v>
      </c>
      <c r="X91" s="62">
        <f t="shared" ca="1" si="18"/>
        <v>0</v>
      </c>
      <c r="Y91" s="62">
        <f t="shared" ca="1" si="18"/>
        <v>0</v>
      </c>
      <c r="Z91" s="62">
        <f t="shared" ca="1" si="17"/>
        <v>0</v>
      </c>
      <c r="AA91" s="62">
        <f t="shared" ca="1" si="17"/>
        <v>0</v>
      </c>
      <c r="AB91" s="62">
        <f t="shared" ca="1" si="17"/>
        <v>0</v>
      </c>
      <c r="AC91" s="62">
        <f t="shared" ca="1" si="17"/>
        <v>0</v>
      </c>
      <c r="AD91" s="62">
        <f t="shared" ca="1" si="17"/>
        <v>0</v>
      </c>
      <c r="AE91" s="62">
        <f t="shared" ca="1" si="17"/>
        <v>0</v>
      </c>
      <c r="AF91" s="62">
        <f t="shared" ca="1" si="17"/>
        <v>0</v>
      </c>
      <c r="AG91" s="62">
        <f t="shared" ca="1" si="17"/>
        <v>0</v>
      </c>
      <c r="AH91" s="62">
        <f t="shared" ca="1" si="17"/>
        <v>0</v>
      </c>
      <c r="AI91" s="62">
        <f t="shared" ca="1" si="17"/>
        <v>0</v>
      </c>
      <c r="AJ91" s="62">
        <f t="shared" ca="1" si="17"/>
        <v>0</v>
      </c>
      <c r="AK91" s="62">
        <f t="shared" ca="1" si="17"/>
        <v>0</v>
      </c>
      <c r="AL91" s="62">
        <f t="shared" ca="1" si="17"/>
        <v>0</v>
      </c>
      <c r="AM91" s="62">
        <f t="shared" ca="1" si="17"/>
        <v>0</v>
      </c>
      <c r="AN91" s="62">
        <f t="shared" ca="1" si="16"/>
        <v>0</v>
      </c>
      <c r="AR91" s="63"/>
    </row>
    <row r="92" spans="1:44" ht="15.75">
      <c r="A92" s="177"/>
      <c r="B92" s="178"/>
      <c r="C92" s="181"/>
      <c r="D92" s="179"/>
      <c r="E92" s="180"/>
      <c r="F92" s="172"/>
      <c r="G92" s="66">
        <f t="shared" ca="1" si="15"/>
        <v>0</v>
      </c>
      <c r="H92" s="62">
        <f t="shared" ca="1" si="14"/>
        <v>0</v>
      </c>
      <c r="I92" s="27"/>
      <c r="J92" s="62">
        <f t="shared" ca="1" si="18"/>
        <v>0</v>
      </c>
      <c r="K92" s="62">
        <f t="shared" ca="1" si="18"/>
        <v>0</v>
      </c>
      <c r="L92" s="62">
        <f t="shared" ca="1" si="18"/>
        <v>0</v>
      </c>
      <c r="M92" s="62">
        <f t="shared" ca="1" si="18"/>
        <v>0</v>
      </c>
      <c r="N92" s="62">
        <f t="shared" ca="1" si="18"/>
        <v>0</v>
      </c>
      <c r="O92" s="62">
        <f t="shared" ca="1" si="18"/>
        <v>0</v>
      </c>
      <c r="P92" s="62">
        <f t="shared" ca="1" si="18"/>
        <v>0</v>
      </c>
      <c r="Q92" s="62">
        <f t="shared" ca="1" si="18"/>
        <v>0</v>
      </c>
      <c r="R92" s="62">
        <f t="shared" ca="1" si="18"/>
        <v>0</v>
      </c>
      <c r="S92" s="62">
        <f t="shared" ca="1" si="18"/>
        <v>0</v>
      </c>
      <c r="T92" s="62">
        <f t="shared" ca="1" si="18"/>
        <v>0</v>
      </c>
      <c r="U92" s="62">
        <f t="shared" ca="1" si="18"/>
        <v>0</v>
      </c>
      <c r="V92" s="62">
        <f t="shared" ca="1" si="18"/>
        <v>0</v>
      </c>
      <c r="W92" s="62">
        <f t="shared" ca="1" si="18"/>
        <v>0</v>
      </c>
      <c r="X92" s="62">
        <f t="shared" ca="1" si="18"/>
        <v>0</v>
      </c>
      <c r="Y92" s="62">
        <f t="shared" ca="1" si="18"/>
        <v>0</v>
      </c>
      <c r="Z92" s="62">
        <f t="shared" ca="1" si="17"/>
        <v>0</v>
      </c>
      <c r="AA92" s="62">
        <f t="shared" ca="1" si="17"/>
        <v>0</v>
      </c>
      <c r="AB92" s="62">
        <f t="shared" ca="1" si="17"/>
        <v>0</v>
      </c>
      <c r="AC92" s="62">
        <f t="shared" ca="1" si="17"/>
        <v>0</v>
      </c>
      <c r="AD92" s="62">
        <f t="shared" ca="1" si="17"/>
        <v>0</v>
      </c>
      <c r="AE92" s="62">
        <f t="shared" ca="1" si="17"/>
        <v>0</v>
      </c>
      <c r="AF92" s="62">
        <f t="shared" ca="1" si="17"/>
        <v>0</v>
      </c>
      <c r="AG92" s="62">
        <f t="shared" ca="1" si="17"/>
        <v>0</v>
      </c>
      <c r="AH92" s="62">
        <f t="shared" ca="1" si="17"/>
        <v>0</v>
      </c>
      <c r="AI92" s="62">
        <f t="shared" ca="1" si="17"/>
        <v>0</v>
      </c>
      <c r="AJ92" s="62">
        <f t="shared" ca="1" si="17"/>
        <v>0</v>
      </c>
      <c r="AK92" s="62">
        <f t="shared" ca="1" si="17"/>
        <v>0</v>
      </c>
      <c r="AL92" s="62">
        <f t="shared" ca="1" si="17"/>
        <v>0</v>
      </c>
      <c r="AM92" s="62">
        <f t="shared" ca="1" si="17"/>
        <v>0</v>
      </c>
      <c r="AN92" s="62">
        <f t="shared" ca="1" si="16"/>
        <v>0</v>
      </c>
      <c r="AR92" s="63"/>
    </row>
    <row r="93" spans="1:44" ht="15.75">
      <c r="A93" s="177"/>
      <c r="B93" s="178"/>
      <c r="C93" s="181"/>
      <c r="D93" s="179"/>
      <c r="E93" s="180"/>
      <c r="F93" s="172"/>
      <c r="G93" s="66">
        <f t="shared" ca="1" si="15"/>
        <v>0</v>
      </c>
      <c r="H93" s="62">
        <f t="shared" ca="1" si="14"/>
        <v>0</v>
      </c>
      <c r="I93" s="27"/>
      <c r="J93" s="62">
        <f t="shared" ca="1" si="18"/>
        <v>0</v>
      </c>
      <c r="K93" s="62">
        <f t="shared" ca="1" si="18"/>
        <v>0</v>
      </c>
      <c r="L93" s="62">
        <f t="shared" ca="1" si="18"/>
        <v>0</v>
      </c>
      <c r="M93" s="62">
        <f t="shared" ca="1" si="18"/>
        <v>0</v>
      </c>
      <c r="N93" s="62">
        <f t="shared" ca="1" si="18"/>
        <v>0</v>
      </c>
      <c r="O93" s="62">
        <f t="shared" ca="1" si="18"/>
        <v>0</v>
      </c>
      <c r="P93" s="62">
        <f t="shared" ca="1" si="18"/>
        <v>0</v>
      </c>
      <c r="Q93" s="62">
        <f t="shared" ca="1" si="18"/>
        <v>0</v>
      </c>
      <c r="R93" s="62">
        <f t="shared" ca="1" si="18"/>
        <v>0</v>
      </c>
      <c r="S93" s="62">
        <f t="shared" ca="1" si="18"/>
        <v>0</v>
      </c>
      <c r="T93" s="62">
        <f t="shared" ca="1" si="18"/>
        <v>0</v>
      </c>
      <c r="U93" s="62">
        <f t="shared" ca="1" si="18"/>
        <v>0</v>
      </c>
      <c r="V93" s="62">
        <f t="shared" ca="1" si="18"/>
        <v>0</v>
      </c>
      <c r="W93" s="62">
        <f t="shared" ca="1" si="18"/>
        <v>0</v>
      </c>
      <c r="X93" s="62">
        <f t="shared" ca="1" si="18"/>
        <v>0</v>
      </c>
      <c r="Y93" s="62">
        <f t="shared" ca="1" si="18"/>
        <v>0</v>
      </c>
      <c r="Z93" s="62">
        <f t="shared" ca="1" si="17"/>
        <v>0</v>
      </c>
      <c r="AA93" s="62">
        <f t="shared" ca="1" si="17"/>
        <v>0</v>
      </c>
      <c r="AB93" s="62">
        <f t="shared" ca="1" si="17"/>
        <v>0</v>
      </c>
      <c r="AC93" s="62">
        <f t="shared" ca="1" si="17"/>
        <v>0</v>
      </c>
      <c r="AD93" s="62">
        <f t="shared" ca="1" si="17"/>
        <v>0</v>
      </c>
      <c r="AE93" s="62">
        <f t="shared" ca="1" si="17"/>
        <v>0</v>
      </c>
      <c r="AF93" s="62">
        <f t="shared" ca="1" si="17"/>
        <v>0</v>
      </c>
      <c r="AG93" s="62">
        <f t="shared" ca="1" si="17"/>
        <v>0</v>
      </c>
      <c r="AH93" s="62">
        <f t="shared" ca="1" si="17"/>
        <v>0</v>
      </c>
      <c r="AI93" s="62">
        <f t="shared" ca="1" si="17"/>
        <v>0</v>
      </c>
      <c r="AJ93" s="62">
        <f t="shared" ca="1" si="17"/>
        <v>0</v>
      </c>
      <c r="AK93" s="62">
        <f t="shared" ca="1" si="17"/>
        <v>0</v>
      </c>
      <c r="AL93" s="62">
        <f t="shared" ca="1" si="17"/>
        <v>0</v>
      </c>
      <c r="AM93" s="62">
        <f t="shared" ca="1" si="17"/>
        <v>0</v>
      </c>
      <c r="AN93" s="62">
        <f t="shared" ca="1" si="16"/>
        <v>0</v>
      </c>
      <c r="AR93" s="63"/>
    </row>
    <row r="94" spans="1:44" ht="15.75">
      <c r="A94" s="177"/>
      <c r="B94" s="178"/>
      <c r="C94" s="181"/>
      <c r="D94" s="179"/>
      <c r="E94" s="180"/>
      <c r="F94" s="172"/>
      <c r="G94" s="66">
        <f t="shared" ca="1" si="15"/>
        <v>0</v>
      </c>
      <c r="H94" s="62">
        <f t="shared" ca="1" si="14"/>
        <v>0</v>
      </c>
      <c r="I94" s="27"/>
      <c r="J94" s="62">
        <f t="shared" ca="1" si="18"/>
        <v>0</v>
      </c>
      <c r="K94" s="62">
        <f t="shared" ca="1" si="18"/>
        <v>0</v>
      </c>
      <c r="L94" s="62">
        <f t="shared" ca="1" si="18"/>
        <v>0</v>
      </c>
      <c r="M94" s="62">
        <f t="shared" ca="1" si="18"/>
        <v>0</v>
      </c>
      <c r="N94" s="62">
        <f t="shared" ca="1" si="18"/>
        <v>0</v>
      </c>
      <c r="O94" s="62">
        <f t="shared" ca="1" si="18"/>
        <v>0</v>
      </c>
      <c r="P94" s="62">
        <f t="shared" ca="1" si="18"/>
        <v>0</v>
      </c>
      <c r="Q94" s="62">
        <f t="shared" ca="1" si="18"/>
        <v>0</v>
      </c>
      <c r="R94" s="62">
        <f t="shared" ca="1" si="18"/>
        <v>0</v>
      </c>
      <c r="S94" s="62">
        <f t="shared" ca="1" si="18"/>
        <v>0</v>
      </c>
      <c r="T94" s="62">
        <f t="shared" ca="1" si="18"/>
        <v>0</v>
      </c>
      <c r="U94" s="62">
        <f t="shared" ca="1" si="18"/>
        <v>0</v>
      </c>
      <c r="V94" s="62">
        <f t="shared" ca="1" si="18"/>
        <v>0</v>
      </c>
      <c r="W94" s="62">
        <f t="shared" ca="1" si="18"/>
        <v>0</v>
      </c>
      <c r="X94" s="62">
        <f t="shared" ca="1" si="18"/>
        <v>0</v>
      </c>
      <c r="Y94" s="62">
        <f t="shared" ca="1" si="18"/>
        <v>0</v>
      </c>
      <c r="Z94" s="62">
        <f t="shared" ca="1" si="17"/>
        <v>0</v>
      </c>
      <c r="AA94" s="62">
        <f t="shared" ca="1" si="17"/>
        <v>0</v>
      </c>
      <c r="AB94" s="62">
        <f t="shared" ca="1" si="17"/>
        <v>0</v>
      </c>
      <c r="AC94" s="62">
        <f t="shared" ca="1" si="17"/>
        <v>0</v>
      </c>
      <c r="AD94" s="62">
        <f t="shared" ca="1" si="17"/>
        <v>0</v>
      </c>
      <c r="AE94" s="62">
        <f t="shared" ca="1" si="17"/>
        <v>0</v>
      </c>
      <c r="AF94" s="62">
        <f t="shared" ca="1" si="17"/>
        <v>0</v>
      </c>
      <c r="AG94" s="62">
        <f t="shared" ca="1" si="17"/>
        <v>0</v>
      </c>
      <c r="AH94" s="62">
        <f t="shared" ca="1" si="17"/>
        <v>0</v>
      </c>
      <c r="AI94" s="62">
        <f t="shared" ca="1" si="17"/>
        <v>0</v>
      </c>
      <c r="AJ94" s="62">
        <f t="shared" ca="1" si="17"/>
        <v>0</v>
      </c>
      <c r="AK94" s="62">
        <f t="shared" ca="1" si="17"/>
        <v>0</v>
      </c>
      <c r="AL94" s="62">
        <f t="shared" ca="1" si="17"/>
        <v>0</v>
      </c>
      <c r="AM94" s="62">
        <f t="shared" ca="1" si="17"/>
        <v>0</v>
      </c>
      <c r="AN94" s="62">
        <f t="shared" ca="1" si="16"/>
        <v>0</v>
      </c>
      <c r="AR94" s="63"/>
    </row>
    <row r="95" spans="1:44" ht="15.75">
      <c r="A95" s="177"/>
      <c r="B95" s="178"/>
      <c r="C95" s="181"/>
      <c r="D95" s="179"/>
      <c r="E95" s="180"/>
      <c r="F95" s="172"/>
      <c r="G95" s="66">
        <f t="shared" ca="1" si="15"/>
        <v>0</v>
      </c>
      <c r="H95" s="62">
        <f t="shared" ca="1" si="14"/>
        <v>0</v>
      </c>
      <c r="I95" s="27"/>
      <c r="J95" s="62">
        <f t="shared" ca="1" si="18"/>
        <v>0</v>
      </c>
      <c r="K95" s="62">
        <f t="shared" ca="1" si="18"/>
        <v>0</v>
      </c>
      <c r="L95" s="62">
        <f t="shared" ca="1" si="18"/>
        <v>0</v>
      </c>
      <c r="M95" s="62">
        <f t="shared" ca="1" si="18"/>
        <v>0</v>
      </c>
      <c r="N95" s="62">
        <f t="shared" ca="1" si="18"/>
        <v>0</v>
      </c>
      <c r="O95" s="62">
        <f t="shared" ca="1" si="18"/>
        <v>0</v>
      </c>
      <c r="P95" s="62">
        <f t="shared" ca="1" si="18"/>
        <v>0</v>
      </c>
      <c r="Q95" s="62">
        <f t="shared" ca="1" si="18"/>
        <v>0</v>
      </c>
      <c r="R95" s="62">
        <f t="shared" ca="1" si="18"/>
        <v>0</v>
      </c>
      <c r="S95" s="62">
        <f t="shared" ca="1" si="18"/>
        <v>0</v>
      </c>
      <c r="T95" s="62">
        <f t="shared" ca="1" si="18"/>
        <v>0</v>
      </c>
      <c r="U95" s="62">
        <f t="shared" ca="1" si="18"/>
        <v>0</v>
      </c>
      <c r="V95" s="62">
        <f t="shared" ca="1" si="18"/>
        <v>0</v>
      </c>
      <c r="W95" s="62">
        <f t="shared" ca="1" si="18"/>
        <v>0</v>
      </c>
      <c r="X95" s="62">
        <f t="shared" ca="1" si="18"/>
        <v>0</v>
      </c>
      <c r="Y95" s="62">
        <f t="shared" ca="1" si="18"/>
        <v>0</v>
      </c>
      <c r="Z95" s="62">
        <f t="shared" ca="1" si="17"/>
        <v>0</v>
      </c>
      <c r="AA95" s="62">
        <f t="shared" ca="1" si="17"/>
        <v>0</v>
      </c>
      <c r="AB95" s="62">
        <f t="shared" ca="1" si="17"/>
        <v>0</v>
      </c>
      <c r="AC95" s="62">
        <f t="shared" ca="1" si="17"/>
        <v>0</v>
      </c>
      <c r="AD95" s="62">
        <f t="shared" ca="1" si="17"/>
        <v>0</v>
      </c>
      <c r="AE95" s="62">
        <f t="shared" ca="1" si="17"/>
        <v>0</v>
      </c>
      <c r="AF95" s="62">
        <f t="shared" ca="1" si="17"/>
        <v>0</v>
      </c>
      <c r="AG95" s="62">
        <f t="shared" ca="1" si="17"/>
        <v>0</v>
      </c>
      <c r="AH95" s="62">
        <f t="shared" ca="1" si="17"/>
        <v>0</v>
      </c>
      <c r="AI95" s="62">
        <f t="shared" ca="1" si="17"/>
        <v>0</v>
      </c>
      <c r="AJ95" s="62">
        <f t="shared" ca="1" si="17"/>
        <v>0</v>
      </c>
      <c r="AK95" s="62">
        <f t="shared" ca="1" si="17"/>
        <v>0</v>
      </c>
      <c r="AL95" s="62">
        <f t="shared" ca="1" si="17"/>
        <v>0</v>
      </c>
      <c r="AM95" s="62">
        <f t="shared" ca="1" si="17"/>
        <v>0</v>
      </c>
      <c r="AN95" s="62">
        <f t="shared" ca="1" si="16"/>
        <v>0</v>
      </c>
      <c r="AR95" s="63"/>
    </row>
    <row r="96" spans="1:44" ht="15.75">
      <c r="A96" s="177"/>
      <c r="B96" s="178"/>
      <c r="C96" s="181"/>
      <c r="D96" s="179"/>
      <c r="E96" s="180"/>
      <c r="F96" s="172"/>
      <c r="G96" s="66">
        <f t="shared" ref="G96" ca="1" si="19">IF(D96="",0,IF(F96="",IF(NOW()&gt;E96,TRUNC(NOW()-E96),0),0))</f>
        <v>0</v>
      </c>
      <c r="H96" s="129">
        <f t="shared" ref="H96" ca="1" si="20">IF($E96&lt;J$9,$D96,0)</f>
        <v>0</v>
      </c>
      <c r="I96" s="130"/>
      <c r="J96" s="129">
        <f t="shared" ca="1" si="18"/>
        <v>0</v>
      </c>
      <c r="K96" s="129">
        <f t="shared" ca="1" si="18"/>
        <v>0</v>
      </c>
      <c r="L96" s="129">
        <f t="shared" ca="1" si="18"/>
        <v>0</v>
      </c>
      <c r="M96" s="129">
        <f t="shared" ca="1" si="18"/>
        <v>0</v>
      </c>
      <c r="N96" s="129">
        <f t="shared" ca="1" si="18"/>
        <v>0</v>
      </c>
      <c r="O96" s="129">
        <f t="shared" ca="1" si="18"/>
        <v>0</v>
      </c>
      <c r="P96" s="129">
        <f t="shared" ca="1" si="18"/>
        <v>0</v>
      </c>
      <c r="Q96" s="129">
        <f t="shared" ca="1" si="18"/>
        <v>0</v>
      </c>
      <c r="R96" s="129">
        <f t="shared" ca="1" si="18"/>
        <v>0</v>
      </c>
      <c r="S96" s="129">
        <f t="shared" ca="1" si="18"/>
        <v>0</v>
      </c>
      <c r="T96" s="129">
        <f t="shared" ca="1" si="18"/>
        <v>0</v>
      </c>
      <c r="U96" s="129">
        <f t="shared" ca="1" si="18"/>
        <v>0</v>
      </c>
      <c r="V96" s="129">
        <f t="shared" ca="1" si="18"/>
        <v>0</v>
      </c>
      <c r="W96" s="129">
        <f t="shared" ca="1" si="18"/>
        <v>0</v>
      </c>
      <c r="X96" s="129">
        <f t="shared" ca="1" si="18"/>
        <v>0</v>
      </c>
      <c r="Y96" s="129">
        <f t="shared" ca="1" si="18"/>
        <v>0</v>
      </c>
      <c r="Z96" s="129">
        <f t="shared" ca="1" si="17"/>
        <v>0</v>
      </c>
      <c r="AA96" s="129">
        <f t="shared" ca="1" si="17"/>
        <v>0</v>
      </c>
      <c r="AB96" s="129">
        <f t="shared" ca="1" si="17"/>
        <v>0</v>
      </c>
      <c r="AC96" s="129">
        <f t="shared" ca="1" si="17"/>
        <v>0</v>
      </c>
      <c r="AD96" s="129">
        <f t="shared" ca="1" si="17"/>
        <v>0</v>
      </c>
      <c r="AE96" s="129">
        <f t="shared" ca="1" si="17"/>
        <v>0</v>
      </c>
      <c r="AF96" s="129">
        <f t="shared" ca="1" si="17"/>
        <v>0</v>
      </c>
      <c r="AG96" s="129">
        <f t="shared" ca="1" si="17"/>
        <v>0</v>
      </c>
      <c r="AH96" s="129">
        <f t="shared" ca="1" si="17"/>
        <v>0</v>
      </c>
      <c r="AI96" s="129">
        <f t="shared" ca="1" si="17"/>
        <v>0</v>
      </c>
      <c r="AJ96" s="129">
        <f t="shared" ca="1" si="17"/>
        <v>0</v>
      </c>
      <c r="AK96" s="129">
        <f t="shared" ca="1" si="17"/>
        <v>0</v>
      </c>
      <c r="AL96" s="129">
        <f t="shared" ca="1" si="17"/>
        <v>0</v>
      </c>
      <c r="AM96" s="129">
        <f t="shared" ca="1" si="17"/>
        <v>0</v>
      </c>
      <c r="AN96" s="129">
        <f t="shared" ca="1" si="16"/>
        <v>0</v>
      </c>
      <c r="AR96" s="63"/>
    </row>
    <row r="97" spans="1:44" ht="13.5" thickBot="1">
      <c r="A97" s="162"/>
      <c r="B97" s="162"/>
      <c r="C97" s="163"/>
      <c r="D97" s="162"/>
      <c r="E97" s="164"/>
      <c r="F97" s="162"/>
      <c r="G97" s="162"/>
      <c r="H97" s="162"/>
      <c r="I97" s="162"/>
      <c r="J97" s="165"/>
      <c r="K97" s="166"/>
      <c r="L97" s="166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166"/>
      <c r="AR97" s="63"/>
    </row>
    <row r="98" spans="1:44">
      <c r="AR98" s="63"/>
    </row>
    <row r="99" spans="1:44">
      <c r="AR99" s="63"/>
    </row>
    <row r="100" spans="1:44">
      <c r="AR100" s="63"/>
    </row>
    <row r="101" spans="1:44">
      <c r="D101" s="24"/>
      <c r="AR101" s="63"/>
    </row>
    <row r="102" spans="1:44">
      <c r="AR102" s="63"/>
    </row>
    <row r="103" spans="1:44">
      <c r="AR103" s="63"/>
    </row>
    <row r="104" spans="1:44">
      <c r="AR104" s="63"/>
    </row>
    <row r="105" spans="1:44">
      <c r="AR105" s="63"/>
    </row>
    <row r="106" spans="1:44">
      <c r="AR106" s="63"/>
    </row>
    <row r="107" spans="1:44">
      <c r="AR107" s="63"/>
    </row>
    <row r="108" spans="1:44">
      <c r="AR108" s="63"/>
    </row>
    <row r="109" spans="1:44">
      <c r="AR109" s="63"/>
    </row>
    <row r="110" spans="1:44">
      <c r="AR110" s="63"/>
    </row>
    <row r="111" spans="1:44">
      <c r="AR111" s="63"/>
    </row>
    <row r="112" spans="1:44">
      <c r="AR112" s="63"/>
    </row>
    <row r="113" spans="44:44">
      <c r="AR113" s="63"/>
    </row>
    <row r="114" spans="44:44">
      <c r="AR114" s="63"/>
    </row>
    <row r="115" spans="44:44">
      <c r="AR115" s="63"/>
    </row>
    <row r="116" spans="44:44">
      <c r="AR116" s="63"/>
    </row>
    <row r="117" spans="44:44">
      <c r="AR117" s="63"/>
    </row>
    <row r="118" spans="44:44">
      <c r="AR118" s="63"/>
    </row>
    <row r="119" spans="44:44">
      <c r="AR119" s="63"/>
    </row>
    <row r="120" spans="44:44">
      <c r="AR120" s="63"/>
    </row>
    <row r="121" spans="44:44">
      <c r="AR121" s="63"/>
    </row>
    <row r="122" spans="44:44">
      <c r="AR122" s="63"/>
    </row>
    <row r="123" spans="44:44">
      <c r="AR123" s="63"/>
    </row>
    <row r="124" spans="44:44">
      <c r="AR124" s="63"/>
    </row>
    <row r="125" spans="44:44">
      <c r="AR125" s="63"/>
    </row>
    <row r="126" spans="44:44">
      <c r="AR126" s="63"/>
    </row>
    <row r="127" spans="44:44">
      <c r="AR127" s="63"/>
    </row>
    <row r="128" spans="44:44">
      <c r="AR128" s="63"/>
    </row>
    <row r="129" spans="44:44">
      <c r="AR129" s="63"/>
    </row>
    <row r="130" spans="44:44">
      <c r="AR130" s="63"/>
    </row>
    <row r="131" spans="44:44">
      <c r="AR131" s="63"/>
    </row>
    <row r="132" spans="44:44">
      <c r="AR132" s="63"/>
    </row>
    <row r="133" spans="44:44">
      <c r="AR133" s="63"/>
    </row>
    <row r="134" spans="44:44">
      <c r="AR134" s="63"/>
    </row>
    <row r="135" spans="44:44">
      <c r="AR135" s="63"/>
    </row>
    <row r="136" spans="44:44">
      <c r="AR136" s="63"/>
    </row>
    <row r="137" spans="44:44">
      <c r="AR137" s="63"/>
    </row>
    <row r="138" spans="44:44">
      <c r="AR138" s="63"/>
    </row>
    <row r="139" spans="44:44">
      <c r="AR139" s="63"/>
    </row>
    <row r="140" spans="44:44">
      <c r="AR140" s="63"/>
    </row>
    <row r="141" spans="44:44">
      <c r="AR141" s="63"/>
    </row>
    <row r="142" spans="44:44">
      <c r="AR142" s="63"/>
    </row>
    <row r="143" spans="44:44">
      <c r="AR143" s="63"/>
    </row>
    <row r="144" spans="44:44">
      <c r="AR144" s="63"/>
    </row>
    <row r="145" spans="44:44">
      <c r="AR145" s="63"/>
    </row>
    <row r="146" spans="44:44">
      <c r="AR146" s="63"/>
    </row>
    <row r="147" spans="44:44">
      <c r="AR147" s="63"/>
    </row>
    <row r="148" spans="44:44">
      <c r="AR148" s="63"/>
    </row>
    <row r="149" spans="44:44">
      <c r="AR149" s="63"/>
    </row>
    <row r="150" spans="44:44">
      <c r="AR150" s="63"/>
    </row>
    <row r="151" spans="44:44">
      <c r="AR151" s="63"/>
    </row>
    <row r="152" spans="44:44">
      <c r="AR152" s="63"/>
    </row>
    <row r="153" spans="44:44">
      <c r="AR153" s="63"/>
    </row>
    <row r="154" spans="44:44">
      <c r="AR154" s="63"/>
    </row>
    <row r="155" spans="44:44">
      <c r="AR155" s="63"/>
    </row>
    <row r="156" spans="44:44">
      <c r="AR156" s="63"/>
    </row>
    <row r="157" spans="44:44">
      <c r="AR157" s="63"/>
    </row>
    <row r="158" spans="44:44">
      <c r="AR158" s="63"/>
    </row>
    <row r="159" spans="44:44">
      <c r="AR159" s="63"/>
    </row>
    <row r="160" spans="44:44">
      <c r="AR160" s="63"/>
    </row>
    <row r="161" spans="44:44">
      <c r="AR161" s="63"/>
    </row>
    <row r="162" spans="44:44">
      <c r="AR162" s="63"/>
    </row>
    <row r="163" spans="44:44">
      <c r="AR163" s="63"/>
    </row>
    <row r="164" spans="44:44">
      <c r="AR164" s="63"/>
    </row>
    <row r="165" spans="44:44">
      <c r="AR165" s="63"/>
    </row>
    <row r="166" spans="44:44">
      <c r="AR166" s="63"/>
    </row>
    <row r="167" spans="44:44">
      <c r="AR167" s="63"/>
    </row>
    <row r="168" spans="44:44">
      <c r="AR168" s="63"/>
    </row>
    <row r="169" spans="44:44">
      <c r="AR169" s="63"/>
    </row>
    <row r="170" spans="44:44">
      <c r="AR170" s="63"/>
    </row>
    <row r="171" spans="44:44">
      <c r="AR171" s="63"/>
    </row>
    <row r="172" spans="44:44">
      <c r="AR172" s="63"/>
    </row>
    <row r="173" spans="44:44">
      <c r="AR173" s="63"/>
    </row>
    <row r="174" spans="44:44">
      <c r="AR174" s="63"/>
    </row>
    <row r="175" spans="44:44">
      <c r="AR175" s="63"/>
    </row>
    <row r="176" spans="44:44">
      <c r="AR176" s="63"/>
    </row>
    <row r="177" spans="44:44">
      <c r="AR177" s="63"/>
    </row>
    <row r="178" spans="44:44">
      <c r="AR178" s="63"/>
    </row>
    <row r="179" spans="44:44">
      <c r="AR179" s="63"/>
    </row>
    <row r="180" spans="44:44">
      <c r="AR180" s="63"/>
    </row>
    <row r="181" spans="44:44">
      <c r="AR181" s="63"/>
    </row>
    <row r="182" spans="44:44">
      <c r="AR182" s="63"/>
    </row>
    <row r="183" spans="44:44">
      <c r="AR183" s="63"/>
    </row>
    <row r="184" spans="44:44">
      <c r="AR184" s="63"/>
    </row>
    <row r="185" spans="44:44">
      <c r="AR185" s="63"/>
    </row>
    <row r="186" spans="44:44">
      <c r="AR186" s="63"/>
    </row>
    <row r="187" spans="44:44">
      <c r="AR187" s="63"/>
    </row>
    <row r="188" spans="44:44">
      <c r="AR188" s="63"/>
    </row>
    <row r="189" spans="44:44">
      <c r="AR189" s="63"/>
    </row>
    <row r="190" spans="44:44">
      <c r="AR190" s="63"/>
    </row>
    <row r="191" spans="44:44">
      <c r="AR191" s="63"/>
    </row>
    <row r="192" spans="44:44">
      <c r="AR192" s="63"/>
    </row>
    <row r="193" spans="44:44">
      <c r="AR193" s="63"/>
    </row>
    <row r="194" spans="44:44">
      <c r="AR194" s="63"/>
    </row>
    <row r="195" spans="44:44">
      <c r="AR195" s="63"/>
    </row>
    <row r="196" spans="44:44">
      <c r="AR196" s="63"/>
    </row>
    <row r="197" spans="44:44">
      <c r="AR197" s="63"/>
    </row>
    <row r="198" spans="44:44">
      <c r="AR198" s="63"/>
    </row>
    <row r="199" spans="44:44">
      <c r="AR199" s="63"/>
    </row>
    <row r="200" spans="44:44">
      <c r="AR200" s="63"/>
    </row>
    <row r="201" spans="44:44">
      <c r="AR201" s="63"/>
    </row>
    <row r="202" spans="44:44">
      <c r="AR202" s="63"/>
    </row>
    <row r="203" spans="44:44">
      <c r="AR203" s="63"/>
    </row>
    <row r="204" spans="44:44">
      <c r="AR204" s="63"/>
    </row>
    <row r="205" spans="44:44">
      <c r="AR205" s="63"/>
    </row>
    <row r="206" spans="44:44">
      <c r="AR206" s="63"/>
    </row>
    <row r="207" spans="44:44">
      <c r="AR207" s="63"/>
    </row>
    <row r="208" spans="44:44">
      <c r="AR208" s="63"/>
    </row>
    <row r="209" spans="44:44">
      <c r="AR209" s="63"/>
    </row>
    <row r="210" spans="44:44">
      <c r="AR210" s="63"/>
    </row>
    <row r="211" spans="44:44">
      <c r="AR211" s="63"/>
    </row>
    <row r="212" spans="44:44">
      <c r="AR212" s="63"/>
    </row>
    <row r="213" spans="44:44">
      <c r="AR213" s="63"/>
    </row>
    <row r="214" spans="44:44">
      <c r="AR214" s="63"/>
    </row>
    <row r="215" spans="44:44">
      <c r="AR215" s="63"/>
    </row>
    <row r="216" spans="44:44">
      <c r="AR216" s="63"/>
    </row>
    <row r="217" spans="44:44">
      <c r="AR217" s="63"/>
    </row>
    <row r="218" spans="44:44">
      <c r="AR218" s="63"/>
    </row>
    <row r="219" spans="44:44">
      <c r="AR219" s="63"/>
    </row>
    <row r="220" spans="44:44">
      <c r="AR220" s="63"/>
    </row>
    <row r="221" spans="44:44">
      <c r="AR221" s="63"/>
    </row>
    <row r="222" spans="44:44">
      <c r="AR222" s="63"/>
    </row>
    <row r="223" spans="44:44">
      <c r="AR223" s="63"/>
    </row>
    <row r="224" spans="44:44">
      <c r="AR224" s="63"/>
    </row>
    <row r="225" spans="44:44">
      <c r="AR225" s="63"/>
    </row>
    <row r="226" spans="44:44">
      <c r="AR226" s="63"/>
    </row>
    <row r="227" spans="44:44">
      <c r="AR227" s="63"/>
    </row>
    <row r="228" spans="44:44">
      <c r="AR228" s="63"/>
    </row>
    <row r="229" spans="44:44">
      <c r="AR229" s="63"/>
    </row>
    <row r="230" spans="44:44">
      <c r="AR230" s="63"/>
    </row>
    <row r="231" spans="44:44">
      <c r="AR231" s="63"/>
    </row>
    <row r="232" spans="44:44">
      <c r="AR232" s="63"/>
    </row>
    <row r="233" spans="44:44">
      <c r="AR233" s="63"/>
    </row>
    <row r="234" spans="44:44">
      <c r="AR234" s="63"/>
    </row>
    <row r="235" spans="44:44">
      <c r="AR235" s="63"/>
    </row>
    <row r="236" spans="44:44">
      <c r="AR236" s="63"/>
    </row>
    <row r="237" spans="44:44">
      <c r="AR237" s="63"/>
    </row>
    <row r="238" spans="44:44">
      <c r="AR238" s="63"/>
    </row>
    <row r="239" spans="44:44">
      <c r="AR239" s="63"/>
    </row>
    <row r="240" spans="44:44">
      <c r="AR240" s="63"/>
    </row>
    <row r="241" spans="44:44">
      <c r="AR241" s="63"/>
    </row>
    <row r="242" spans="44:44">
      <c r="AR242" s="63"/>
    </row>
    <row r="243" spans="44:44">
      <c r="AR243" s="63"/>
    </row>
    <row r="244" spans="44:44">
      <c r="AR244" s="63"/>
    </row>
    <row r="245" spans="44:44">
      <c r="AR245" s="63"/>
    </row>
    <row r="246" spans="44:44">
      <c r="AR246" s="63"/>
    </row>
    <row r="247" spans="44:44">
      <c r="AR247" s="63"/>
    </row>
    <row r="248" spans="44:44">
      <c r="AR248" s="63"/>
    </row>
    <row r="249" spans="44:44">
      <c r="AR249" s="63"/>
    </row>
    <row r="250" spans="44:44">
      <c r="AR250" s="63"/>
    </row>
    <row r="251" spans="44:44">
      <c r="AR251" s="63"/>
    </row>
    <row r="252" spans="44:44">
      <c r="AR252" s="63"/>
    </row>
    <row r="253" spans="44:44">
      <c r="AR253" s="63"/>
    </row>
    <row r="254" spans="44:44">
      <c r="AR254" s="63"/>
    </row>
    <row r="255" spans="44:44">
      <c r="AR255" s="63"/>
    </row>
    <row r="256" spans="44:44">
      <c r="AR256" s="63"/>
    </row>
    <row r="257" spans="44:44">
      <c r="AR257" s="63"/>
    </row>
    <row r="258" spans="44:44">
      <c r="AR258" s="63"/>
    </row>
    <row r="259" spans="44:44">
      <c r="AR259" s="63"/>
    </row>
    <row r="260" spans="44:44">
      <c r="AR260" s="63"/>
    </row>
    <row r="261" spans="44:44">
      <c r="AR261" s="63"/>
    </row>
    <row r="262" spans="44:44">
      <c r="AR262" s="63"/>
    </row>
    <row r="263" spans="44:44">
      <c r="AR263" s="63"/>
    </row>
    <row r="264" spans="44:44">
      <c r="AR264" s="63"/>
    </row>
    <row r="265" spans="44:44">
      <c r="AR265" s="63"/>
    </row>
    <row r="266" spans="44:44">
      <c r="AR266" s="63"/>
    </row>
    <row r="267" spans="44:44">
      <c r="AR267" s="63"/>
    </row>
    <row r="268" spans="44:44">
      <c r="AR268" s="63"/>
    </row>
    <row r="269" spans="44:44">
      <c r="AR269" s="63"/>
    </row>
    <row r="270" spans="44:44">
      <c r="AR270" s="63"/>
    </row>
    <row r="271" spans="44:44">
      <c r="AR271" s="63"/>
    </row>
    <row r="272" spans="44:44">
      <c r="AR272" s="63"/>
    </row>
    <row r="273" spans="44:44">
      <c r="AR273" s="63"/>
    </row>
    <row r="274" spans="44:44">
      <c r="AR274" s="63"/>
    </row>
    <row r="275" spans="44:44">
      <c r="AR275" s="63"/>
    </row>
    <row r="276" spans="44:44">
      <c r="AR276" s="63"/>
    </row>
    <row r="277" spans="44:44">
      <c r="AR277" s="63"/>
    </row>
    <row r="278" spans="44:44">
      <c r="AR278" s="63"/>
    </row>
    <row r="279" spans="44:44">
      <c r="AR279" s="63"/>
    </row>
    <row r="280" spans="44:44">
      <c r="AR280" s="63"/>
    </row>
    <row r="281" spans="44:44">
      <c r="AR281" s="63"/>
    </row>
    <row r="282" spans="44:44">
      <c r="AR282" s="63"/>
    </row>
    <row r="283" spans="44:44">
      <c r="AR283" s="63"/>
    </row>
    <row r="284" spans="44:44">
      <c r="AR284" s="63"/>
    </row>
    <row r="285" spans="44:44">
      <c r="AR285" s="63"/>
    </row>
    <row r="286" spans="44:44">
      <c r="AR286" s="63"/>
    </row>
    <row r="287" spans="44:44">
      <c r="AR287" s="63"/>
    </row>
    <row r="288" spans="44:44">
      <c r="AR288" s="63"/>
    </row>
    <row r="289" spans="44:44">
      <c r="AR289" s="63"/>
    </row>
    <row r="290" spans="44:44">
      <c r="AR290" s="63"/>
    </row>
    <row r="291" spans="44:44">
      <c r="AR291" s="63"/>
    </row>
    <row r="292" spans="44:44">
      <c r="AR292" s="63"/>
    </row>
    <row r="293" spans="44:44">
      <c r="AR293" s="63"/>
    </row>
    <row r="294" spans="44:44">
      <c r="AR294" s="63"/>
    </row>
    <row r="295" spans="44:44">
      <c r="AR295" s="63"/>
    </row>
    <row r="296" spans="44:44">
      <c r="AR296" s="63"/>
    </row>
    <row r="297" spans="44:44">
      <c r="AR297" s="63"/>
    </row>
    <row r="298" spans="44:44">
      <c r="AR298" s="63"/>
    </row>
    <row r="299" spans="44:44">
      <c r="AR299" s="63"/>
    </row>
    <row r="300" spans="44:44">
      <c r="AR300" s="63"/>
    </row>
    <row r="301" spans="44:44">
      <c r="AR301" s="63"/>
    </row>
    <row r="302" spans="44:44">
      <c r="AR302" s="63"/>
    </row>
    <row r="303" spans="44:44">
      <c r="AR303" s="63"/>
    </row>
    <row r="304" spans="44:44">
      <c r="AR304" s="63"/>
    </row>
    <row r="305" spans="44:44">
      <c r="AR305" s="63"/>
    </row>
    <row r="306" spans="44:44">
      <c r="AR306" s="63"/>
    </row>
    <row r="307" spans="44:44">
      <c r="AR307" s="63"/>
    </row>
    <row r="308" spans="44:44">
      <c r="AR308" s="63"/>
    </row>
    <row r="309" spans="44:44">
      <c r="AR309" s="63"/>
    </row>
    <row r="310" spans="44:44">
      <c r="AR310" s="63"/>
    </row>
    <row r="311" spans="44:44">
      <c r="AR311" s="63"/>
    </row>
    <row r="312" spans="44:44">
      <c r="AR312" s="63"/>
    </row>
    <row r="313" spans="44:44">
      <c r="AR313" s="63"/>
    </row>
    <row r="314" spans="44:44">
      <c r="AR314" s="63"/>
    </row>
    <row r="315" spans="44:44">
      <c r="AR315" s="63"/>
    </row>
    <row r="316" spans="44:44">
      <c r="AR316" s="63"/>
    </row>
    <row r="317" spans="44:44">
      <c r="AR317" s="63"/>
    </row>
    <row r="318" spans="44:44">
      <c r="AR318" s="63"/>
    </row>
    <row r="319" spans="44:44">
      <c r="AR319" s="63"/>
    </row>
    <row r="320" spans="44:44">
      <c r="AR320" s="63"/>
    </row>
    <row r="321" spans="44:44">
      <c r="AR321" s="63"/>
    </row>
    <row r="322" spans="44:44">
      <c r="AR322" s="63"/>
    </row>
    <row r="323" spans="44:44">
      <c r="AR323" s="63"/>
    </row>
    <row r="324" spans="44:44">
      <c r="AR324" s="63"/>
    </row>
    <row r="325" spans="44:44">
      <c r="AR325" s="63"/>
    </row>
    <row r="326" spans="44:44">
      <c r="AR326" s="63"/>
    </row>
    <row r="327" spans="44:44">
      <c r="AR327" s="63"/>
    </row>
    <row r="328" spans="44:44">
      <c r="AR328" s="63"/>
    </row>
    <row r="329" spans="44:44">
      <c r="AR329" s="63"/>
    </row>
    <row r="330" spans="44:44">
      <c r="AR330" s="63"/>
    </row>
    <row r="331" spans="44:44">
      <c r="AR331" s="63"/>
    </row>
    <row r="332" spans="44:44">
      <c r="AR332" s="63"/>
    </row>
    <row r="333" spans="44:44">
      <c r="AR333" s="63"/>
    </row>
    <row r="334" spans="44:44">
      <c r="AR334" s="63"/>
    </row>
    <row r="335" spans="44:44">
      <c r="AR335" s="63"/>
    </row>
    <row r="336" spans="44:44">
      <c r="AR336" s="63"/>
    </row>
    <row r="337" spans="44:44">
      <c r="AR337" s="63"/>
    </row>
    <row r="338" spans="44:44">
      <c r="AR338" s="63"/>
    </row>
    <row r="339" spans="44:44">
      <c r="AR339" s="63"/>
    </row>
    <row r="340" spans="44:44">
      <c r="AR340" s="63"/>
    </row>
    <row r="341" spans="44:44">
      <c r="AR341" s="63"/>
    </row>
    <row r="342" spans="44:44">
      <c r="AR342" s="63"/>
    </row>
    <row r="343" spans="44:44">
      <c r="AR343" s="63"/>
    </row>
    <row r="344" spans="44:44">
      <c r="AR344" s="63"/>
    </row>
    <row r="345" spans="44:44">
      <c r="AR345" s="63"/>
    </row>
    <row r="346" spans="44:44">
      <c r="AR346" s="63"/>
    </row>
    <row r="347" spans="44:44">
      <c r="AR347" s="63"/>
    </row>
    <row r="348" spans="44:44">
      <c r="AR348" s="63"/>
    </row>
    <row r="349" spans="44:44">
      <c r="AR349" s="63"/>
    </row>
    <row r="350" spans="44:44">
      <c r="AR350" s="63"/>
    </row>
    <row r="351" spans="44:44">
      <c r="AR351" s="63"/>
    </row>
    <row r="352" spans="44:44">
      <c r="AR352" s="63"/>
    </row>
    <row r="353" spans="44:44">
      <c r="AR353" s="63"/>
    </row>
    <row r="354" spans="44:44">
      <c r="AR354" s="63"/>
    </row>
    <row r="355" spans="44:44">
      <c r="AR355" s="63"/>
    </row>
    <row r="356" spans="44:44">
      <c r="AR356" s="63"/>
    </row>
    <row r="357" spans="44:44">
      <c r="AR357" s="63"/>
    </row>
    <row r="358" spans="44:44">
      <c r="AR358" s="63"/>
    </row>
    <row r="359" spans="44:44">
      <c r="AR359" s="63"/>
    </row>
    <row r="360" spans="44:44">
      <c r="AR360" s="63"/>
    </row>
    <row r="361" spans="44:44">
      <c r="AR361" s="63"/>
    </row>
    <row r="362" spans="44:44">
      <c r="AR362" s="63"/>
    </row>
    <row r="363" spans="44:44">
      <c r="AR363" s="63"/>
    </row>
    <row r="364" spans="44:44">
      <c r="AR364" s="63"/>
    </row>
    <row r="365" spans="44:44">
      <c r="AR365" s="63"/>
    </row>
    <row r="366" spans="44:44">
      <c r="AR366" s="63"/>
    </row>
    <row r="367" spans="44:44">
      <c r="AR367" s="63"/>
    </row>
    <row r="368" spans="44:44">
      <c r="AR368" s="63"/>
    </row>
    <row r="369" spans="44:44">
      <c r="AR369" s="63"/>
    </row>
    <row r="370" spans="44:44">
      <c r="AR370" s="63"/>
    </row>
    <row r="371" spans="44:44">
      <c r="AR371" s="63"/>
    </row>
    <row r="372" spans="44:44">
      <c r="AR372" s="63"/>
    </row>
    <row r="373" spans="44:44">
      <c r="AR373" s="63"/>
    </row>
    <row r="374" spans="44:44">
      <c r="AR374" s="63"/>
    </row>
    <row r="375" spans="44:44">
      <c r="AR375" s="63"/>
    </row>
    <row r="376" spans="44:44">
      <c r="AR376" s="63"/>
    </row>
    <row r="377" spans="44:44">
      <c r="AR377" s="63"/>
    </row>
    <row r="378" spans="44:44">
      <c r="AR378" s="63"/>
    </row>
    <row r="379" spans="44:44">
      <c r="AR379" s="63"/>
    </row>
    <row r="380" spans="44:44">
      <c r="AR380" s="63"/>
    </row>
    <row r="381" spans="44:44">
      <c r="AR381" s="63"/>
    </row>
    <row r="382" spans="44:44">
      <c r="AR382" s="63"/>
    </row>
    <row r="383" spans="44:44">
      <c r="AR383" s="63"/>
    </row>
    <row r="384" spans="44:44">
      <c r="AR384" s="63"/>
    </row>
    <row r="385" spans="44:44">
      <c r="AR385" s="63"/>
    </row>
    <row r="386" spans="44:44">
      <c r="AR386" s="63"/>
    </row>
    <row r="387" spans="44:44">
      <c r="AR387" s="63"/>
    </row>
    <row r="388" spans="44:44">
      <c r="AR388" s="63"/>
    </row>
    <row r="389" spans="44:44">
      <c r="AR389" s="63"/>
    </row>
    <row r="390" spans="44:44">
      <c r="AR390" s="63"/>
    </row>
    <row r="391" spans="44:44">
      <c r="AR391" s="63"/>
    </row>
    <row r="392" spans="44:44">
      <c r="AR392" s="63"/>
    </row>
    <row r="393" spans="44:44">
      <c r="AR393" s="63"/>
    </row>
    <row r="394" spans="44:44">
      <c r="AR394" s="63"/>
    </row>
    <row r="395" spans="44:44">
      <c r="AR395" s="63"/>
    </row>
    <row r="396" spans="44:44">
      <c r="AR396" s="63"/>
    </row>
    <row r="397" spans="44:44">
      <c r="AR397" s="63"/>
    </row>
    <row r="398" spans="44:44">
      <c r="AR398" s="63"/>
    </row>
    <row r="399" spans="44:44">
      <c r="AR399" s="63"/>
    </row>
    <row r="400" spans="44:44">
      <c r="AR400" s="63"/>
    </row>
    <row r="401" spans="44:44">
      <c r="AR401" s="63"/>
    </row>
    <row r="402" spans="44:44">
      <c r="AR402" s="63"/>
    </row>
    <row r="403" spans="44:44">
      <c r="AR403" s="63"/>
    </row>
    <row r="404" spans="44:44">
      <c r="AR404" s="63"/>
    </row>
    <row r="405" spans="44:44">
      <c r="AR405" s="63"/>
    </row>
    <row r="406" spans="44:44">
      <c r="AR406" s="63"/>
    </row>
    <row r="407" spans="44:44">
      <c r="AR407" s="63"/>
    </row>
    <row r="408" spans="44:44">
      <c r="AR408" s="63"/>
    </row>
    <row r="409" spans="44:44">
      <c r="AR409" s="63"/>
    </row>
    <row r="410" spans="44:44">
      <c r="AR410" s="63"/>
    </row>
    <row r="411" spans="44:44">
      <c r="AR411" s="63"/>
    </row>
    <row r="412" spans="44:44">
      <c r="AR412" s="63"/>
    </row>
    <row r="413" spans="44:44">
      <c r="AR413" s="63"/>
    </row>
    <row r="414" spans="44:44">
      <c r="AR414" s="63"/>
    </row>
    <row r="415" spans="44:44">
      <c r="AR415" s="63"/>
    </row>
    <row r="416" spans="44:44">
      <c r="AR416" s="63"/>
    </row>
    <row r="417" spans="44:44">
      <c r="AR417" s="63"/>
    </row>
    <row r="418" spans="44:44">
      <c r="AR418" s="63"/>
    </row>
    <row r="419" spans="44:44">
      <c r="AR419" s="63"/>
    </row>
    <row r="420" spans="44:44">
      <c r="AR420" s="63"/>
    </row>
    <row r="421" spans="44:44">
      <c r="AR421" s="63"/>
    </row>
    <row r="422" spans="44:44">
      <c r="AR422" s="63"/>
    </row>
    <row r="423" spans="44:44">
      <c r="AR423" s="63"/>
    </row>
    <row r="424" spans="44:44">
      <c r="AR424" s="63"/>
    </row>
    <row r="425" spans="44:44">
      <c r="AR425" s="63"/>
    </row>
    <row r="426" spans="44:44">
      <c r="AR426" s="63"/>
    </row>
    <row r="427" spans="44:44">
      <c r="AR427" s="63"/>
    </row>
    <row r="428" spans="44:44">
      <c r="AR428" s="63"/>
    </row>
    <row r="429" spans="44:44">
      <c r="AR429" s="63"/>
    </row>
    <row r="430" spans="44:44">
      <c r="AR430" s="63"/>
    </row>
    <row r="431" spans="44:44">
      <c r="AR431" s="63"/>
    </row>
    <row r="432" spans="44:44">
      <c r="AR432" s="63"/>
    </row>
    <row r="433" spans="44:44">
      <c r="AR433" s="63"/>
    </row>
    <row r="434" spans="44:44">
      <c r="AR434" s="63"/>
    </row>
    <row r="435" spans="44:44">
      <c r="AR435" s="63"/>
    </row>
    <row r="436" spans="44:44">
      <c r="AR436" s="63"/>
    </row>
    <row r="437" spans="44:44">
      <c r="AR437" s="63"/>
    </row>
    <row r="438" spans="44:44">
      <c r="AR438" s="63"/>
    </row>
    <row r="439" spans="44:44">
      <c r="AR439" s="63"/>
    </row>
    <row r="440" spans="44:44">
      <c r="AR440" s="63"/>
    </row>
    <row r="441" spans="44:44">
      <c r="AR441" s="63"/>
    </row>
    <row r="442" spans="44:44">
      <c r="AR442" s="63"/>
    </row>
    <row r="443" spans="44:44">
      <c r="AR443" s="63"/>
    </row>
    <row r="444" spans="44:44">
      <c r="AR444" s="63"/>
    </row>
    <row r="445" spans="44:44">
      <c r="AR445" s="63"/>
    </row>
    <row r="446" spans="44:44">
      <c r="AR446" s="63"/>
    </row>
    <row r="447" spans="44:44">
      <c r="AR447" s="63"/>
    </row>
    <row r="448" spans="44:44">
      <c r="AR448" s="63"/>
    </row>
    <row r="449" spans="44:44">
      <c r="AR449" s="63"/>
    </row>
    <row r="450" spans="44:44">
      <c r="AR450" s="63"/>
    </row>
    <row r="451" spans="44:44">
      <c r="AR451" s="63"/>
    </row>
    <row r="452" spans="44:44">
      <c r="AR452" s="63"/>
    </row>
    <row r="453" spans="44:44">
      <c r="AR453" s="63"/>
    </row>
    <row r="454" spans="44:44">
      <c r="AR454" s="63"/>
    </row>
    <row r="455" spans="44:44">
      <c r="AR455" s="63"/>
    </row>
    <row r="456" spans="44:44">
      <c r="AR456" s="63"/>
    </row>
    <row r="457" spans="44:44">
      <c r="AR457" s="63"/>
    </row>
    <row r="458" spans="44:44">
      <c r="AR458" s="63"/>
    </row>
    <row r="459" spans="44:44">
      <c r="AR459" s="63"/>
    </row>
    <row r="460" spans="44:44">
      <c r="AR460" s="63"/>
    </row>
    <row r="461" spans="44:44">
      <c r="AR461" s="63"/>
    </row>
    <row r="462" spans="44:44">
      <c r="AR462" s="63"/>
    </row>
    <row r="463" spans="44:44">
      <c r="AR463" s="63"/>
    </row>
    <row r="464" spans="44:44">
      <c r="AR464" s="63"/>
    </row>
    <row r="465" spans="44:44">
      <c r="AR465" s="63"/>
    </row>
    <row r="466" spans="44:44">
      <c r="AR466" s="63"/>
    </row>
    <row r="467" spans="44:44">
      <c r="AR467" s="63"/>
    </row>
    <row r="468" spans="44:44">
      <c r="AR468" s="63"/>
    </row>
    <row r="469" spans="44:44">
      <c r="AR469" s="63"/>
    </row>
    <row r="470" spans="44:44">
      <c r="AR470" s="63"/>
    </row>
    <row r="471" spans="44:44">
      <c r="AR471" s="63"/>
    </row>
    <row r="472" spans="44:44">
      <c r="AR472" s="63"/>
    </row>
    <row r="473" spans="44:44">
      <c r="AR473" s="63"/>
    </row>
    <row r="474" spans="44:44">
      <c r="AR474" s="63"/>
    </row>
    <row r="475" spans="44:44">
      <c r="AR475" s="63"/>
    </row>
    <row r="476" spans="44:44">
      <c r="AR476" s="63"/>
    </row>
    <row r="477" spans="44:44">
      <c r="AR477" s="63"/>
    </row>
    <row r="478" spans="44:44">
      <c r="AR478" s="63"/>
    </row>
    <row r="479" spans="44:44">
      <c r="AR479" s="63"/>
    </row>
    <row r="480" spans="44:44">
      <c r="AR480" s="63"/>
    </row>
    <row r="481" spans="44:44">
      <c r="AR481" s="63"/>
    </row>
    <row r="482" spans="44:44">
      <c r="AR482" s="63"/>
    </row>
    <row r="483" spans="44:44">
      <c r="AR483" s="63"/>
    </row>
    <row r="484" spans="44:44">
      <c r="AR484" s="63"/>
    </row>
    <row r="485" spans="44:44">
      <c r="AR485" s="63"/>
    </row>
    <row r="486" spans="44:44">
      <c r="AR486" s="63"/>
    </row>
    <row r="487" spans="44:44">
      <c r="AR487" s="63"/>
    </row>
    <row r="488" spans="44:44">
      <c r="AR488" s="63"/>
    </row>
    <row r="489" spans="44:44">
      <c r="AR489" s="63"/>
    </row>
    <row r="490" spans="44:44">
      <c r="AR490" s="63"/>
    </row>
    <row r="491" spans="44:44">
      <c r="AR491" s="63"/>
    </row>
    <row r="492" spans="44:44">
      <c r="AR492" s="63"/>
    </row>
    <row r="493" spans="44:44">
      <c r="AR493" s="63"/>
    </row>
    <row r="494" spans="44:44">
      <c r="AR494" s="63"/>
    </row>
    <row r="495" spans="44:44">
      <c r="AR495" s="6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BC118"/>
  <sheetViews>
    <sheetView workbookViewId="0">
      <selection activeCell="F12" sqref="F12"/>
    </sheetView>
  </sheetViews>
  <sheetFormatPr defaultColWidth="14.7109375" defaultRowHeight="12.75"/>
  <cols>
    <col min="1" max="1" width="36.85546875" style="194" customWidth="1"/>
    <col min="2" max="2" width="12.7109375" style="3" customWidth="1"/>
    <col min="3" max="3" width="12.7109375" style="11" customWidth="1"/>
    <col min="4" max="4" width="14.7109375" style="3" customWidth="1"/>
    <col min="5" max="5" width="12.7109375" style="11" customWidth="1"/>
    <col min="6" max="7" width="6.7109375" style="3" customWidth="1"/>
    <col min="8" max="8" width="14.7109375" style="3" customWidth="1"/>
    <col min="9" max="9" width="1.7109375" style="3" customWidth="1"/>
    <col min="10" max="41" width="14.7109375" style="3" customWidth="1"/>
    <col min="42" max="16384" width="14.7109375" style="3"/>
  </cols>
  <sheetData>
    <row r="1" spans="1:55" ht="16.5" thickBot="1">
      <c r="A1" s="3"/>
      <c r="H1" s="28"/>
      <c r="I1" s="28"/>
      <c r="J1" s="68" t="s">
        <v>224</v>
      </c>
      <c r="K1" s="29"/>
      <c r="L1" s="29"/>
      <c r="M1" s="134"/>
      <c r="N1" s="29" t="s">
        <v>208</v>
      </c>
      <c r="O1" s="29" t="s">
        <v>209</v>
      </c>
      <c r="P1" s="29" t="s">
        <v>210</v>
      </c>
      <c r="Q1" s="28"/>
      <c r="R1" s="29" t="s">
        <v>211</v>
      </c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>
        <v>39</v>
      </c>
      <c r="AN1" s="28"/>
    </row>
    <row r="2" spans="1:55" ht="16.5" thickBot="1">
      <c r="A2" s="3"/>
      <c r="H2" s="28"/>
      <c r="I2" s="28"/>
      <c r="J2" s="33" t="s">
        <v>225</v>
      </c>
      <c r="K2" s="28"/>
      <c r="L2" s="28"/>
      <c r="M2" s="28"/>
      <c r="N2" s="28"/>
      <c r="O2" s="28"/>
      <c r="P2" s="30"/>
      <c r="Q2" s="28"/>
      <c r="R2" s="31" t="s">
        <v>213</v>
      </c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</row>
    <row r="3" spans="1:55" ht="16.5" thickBot="1">
      <c r="A3" s="3"/>
      <c r="H3" s="28"/>
      <c r="I3" s="28"/>
      <c r="J3" s="121">
        <f ca="1">$M$1+J5-J7</f>
        <v>0</v>
      </c>
      <c r="K3" s="121">
        <f ca="1">J3+K5-K7</f>
        <v>0</v>
      </c>
      <c r="L3" s="121">
        <f t="shared" ref="L3:AN3" ca="1" si="0">K3+L5-L7</f>
        <v>0</v>
      </c>
      <c r="M3" s="121">
        <f t="shared" ca="1" si="0"/>
        <v>0</v>
      </c>
      <c r="N3" s="121">
        <f t="shared" ca="1" si="0"/>
        <v>0</v>
      </c>
      <c r="O3" s="121">
        <f t="shared" ca="1" si="0"/>
        <v>0</v>
      </c>
      <c r="P3" s="121">
        <f t="shared" ca="1" si="0"/>
        <v>0</v>
      </c>
      <c r="Q3" s="121">
        <f t="shared" ca="1" si="0"/>
        <v>0</v>
      </c>
      <c r="R3" s="121">
        <f t="shared" ca="1" si="0"/>
        <v>0</v>
      </c>
      <c r="S3" s="121">
        <f t="shared" ca="1" si="0"/>
        <v>0</v>
      </c>
      <c r="T3" s="121">
        <f t="shared" ca="1" si="0"/>
        <v>0</v>
      </c>
      <c r="U3" s="121">
        <f t="shared" ca="1" si="0"/>
        <v>0</v>
      </c>
      <c r="V3" s="121">
        <f t="shared" ca="1" si="0"/>
        <v>0</v>
      </c>
      <c r="W3" s="121">
        <f t="shared" ca="1" si="0"/>
        <v>0</v>
      </c>
      <c r="X3" s="121">
        <f t="shared" ca="1" si="0"/>
        <v>0</v>
      </c>
      <c r="Y3" s="121">
        <f t="shared" ca="1" si="0"/>
        <v>0</v>
      </c>
      <c r="Z3" s="121">
        <f t="shared" ca="1" si="0"/>
        <v>0</v>
      </c>
      <c r="AA3" s="121">
        <f t="shared" ca="1" si="0"/>
        <v>0</v>
      </c>
      <c r="AB3" s="121">
        <f t="shared" ca="1" si="0"/>
        <v>0</v>
      </c>
      <c r="AC3" s="121">
        <f t="shared" ca="1" si="0"/>
        <v>0</v>
      </c>
      <c r="AD3" s="121">
        <f t="shared" ca="1" si="0"/>
        <v>0</v>
      </c>
      <c r="AE3" s="121">
        <f t="shared" ca="1" si="0"/>
        <v>0</v>
      </c>
      <c r="AF3" s="121">
        <f t="shared" ca="1" si="0"/>
        <v>0</v>
      </c>
      <c r="AG3" s="121">
        <f t="shared" ca="1" si="0"/>
        <v>0</v>
      </c>
      <c r="AH3" s="121">
        <f t="shared" ca="1" si="0"/>
        <v>0</v>
      </c>
      <c r="AI3" s="121">
        <f t="shared" ca="1" si="0"/>
        <v>0</v>
      </c>
      <c r="AJ3" s="121">
        <f t="shared" ca="1" si="0"/>
        <v>0</v>
      </c>
      <c r="AK3" s="121">
        <f t="shared" ca="1" si="0"/>
        <v>0</v>
      </c>
      <c r="AL3" s="121">
        <f t="shared" ca="1" si="0"/>
        <v>0</v>
      </c>
      <c r="AM3" s="121">
        <f t="shared" ca="1" si="0"/>
        <v>0</v>
      </c>
      <c r="AN3" s="121">
        <f t="shared" ca="1" si="0"/>
        <v>0</v>
      </c>
    </row>
    <row r="4" spans="1:55" ht="16.5" thickBot="1">
      <c r="A4" s="3"/>
      <c r="H4" s="29" t="s">
        <v>212</v>
      </c>
      <c r="I4" s="29"/>
      <c r="J4" s="122" t="s">
        <v>214</v>
      </c>
      <c r="K4" s="123"/>
      <c r="L4" s="123"/>
      <c r="M4" s="123"/>
      <c r="N4" s="123"/>
      <c r="O4" s="123"/>
      <c r="P4" s="124"/>
      <c r="Q4" s="123"/>
      <c r="R4" s="125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</row>
    <row r="5" spans="1:55" ht="16.5" thickBot="1">
      <c r="A5" s="28"/>
      <c r="B5" s="28"/>
      <c r="C5" s="32"/>
      <c r="D5" s="28"/>
      <c r="E5" s="32"/>
      <c r="F5" s="28"/>
      <c r="G5" s="28"/>
      <c r="H5" s="28"/>
      <c r="I5" s="28"/>
      <c r="J5" s="121">
        <f ca="1">ULIV!J5</f>
        <v>0</v>
      </c>
      <c r="K5" s="121">
        <f ca="1">ULIV!K5</f>
        <v>0</v>
      </c>
      <c r="L5" s="121">
        <f ca="1">ULIV!L5</f>
        <v>0</v>
      </c>
      <c r="M5" s="121">
        <f ca="1">ULIV!M5</f>
        <v>0</v>
      </c>
      <c r="N5" s="121">
        <f ca="1">ULIV!N5</f>
        <v>0</v>
      </c>
      <c r="O5" s="121">
        <f ca="1">ULIV!O5</f>
        <v>0</v>
      </c>
      <c r="P5" s="121">
        <f ca="1">ULIV!P5</f>
        <v>0</v>
      </c>
      <c r="Q5" s="121">
        <f ca="1">ULIV!Q5</f>
        <v>0</v>
      </c>
      <c r="R5" s="121">
        <f ca="1">ULIV!R5</f>
        <v>0</v>
      </c>
      <c r="S5" s="121">
        <f ca="1">ULIV!S5</f>
        <v>0</v>
      </c>
      <c r="T5" s="121">
        <f ca="1">ULIV!T5</f>
        <v>0</v>
      </c>
      <c r="U5" s="121">
        <f ca="1">ULIV!U5</f>
        <v>0</v>
      </c>
      <c r="V5" s="121">
        <f ca="1">ULIV!V5</f>
        <v>0</v>
      </c>
      <c r="W5" s="121">
        <f ca="1">ULIV!W5</f>
        <v>0</v>
      </c>
      <c r="X5" s="121">
        <f ca="1">ULIV!X5</f>
        <v>0</v>
      </c>
      <c r="Y5" s="121">
        <f ca="1">ULIV!Y5</f>
        <v>0</v>
      </c>
      <c r="Z5" s="121">
        <f ca="1">ULIV!Z5</f>
        <v>0</v>
      </c>
      <c r="AA5" s="121">
        <f ca="1">ULIV!AA5</f>
        <v>0</v>
      </c>
      <c r="AB5" s="121">
        <f ca="1">ULIV!AB5</f>
        <v>0</v>
      </c>
      <c r="AC5" s="121">
        <f ca="1">ULIV!AC5</f>
        <v>0</v>
      </c>
      <c r="AD5" s="121">
        <f ca="1">ULIV!AD5</f>
        <v>0</v>
      </c>
      <c r="AE5" s="121">
        <f ca="1">ULIV!AE5</f>
        <v>0</v>
      </c>
      <c r="AF5" s="121">
        <f ca="1">ULIV!AF5</f>
        <v>0</v>
      </c>
      <c r="AG5" s="121">
        <f ca="1">ULIV!AG5</f>
        <v>0</v>
      </c>
      <c r="AH5" s="121">
        <f ca="1">ULIV!AH5</f>
        <v>0</v>
      </c>
      <c r="AI5" s="121">
        <f ca="1">ULIV!AI5</f>
        <v>0</v>
      </c>
      <c r="AJ5" s="121">
        <f ca="1">ULIV!AJ5</f>
        <v>0</v>
      </c>
      <c r="AK5" s="121">
        <f ca="1">ULIV!AK5</f>
        <v>0</v>
      </c>
      <c r="AL5" s="121">
        <f ca="1">ULIV!AL5</f>
        <v>0</v>
      </c>
      <c r="AM5" s="121">
        <f ca="1">ULIV!AM5</f>
        <v>0</v>
      </c>
      <c r="AN5" s="121">
        <f ca="1">ULIV!AN5</f>
        <v>0</v>
      </c>
    </row>
    <row r="6" spans="1:55" ht="16.5" thickBot="1">
      <c r="A6" s="28"/>
      <c r="B6" s="34"/>
      <c r="C6" s="32"/>
      <c r="D6" s="28"/>
      <c r="E6" s="32"/>
      <c r="F6" s="28"/>
      <c r="G6" s="28"/>
      <c r="H6" s="28"/>
      <c r="I6" s="28"/>
      <c r="J6" s="33" t="s">
        <v>226</v>
      </c>
    </row>
    <row r="7" spans="1:55" ht="17.25" thickTop="1" thickBot="1">
      <c r="A7" s="35" t="s">
        <v>227</v>
      </c>
      <c r="B7" s="26"/>
      <c r="C7" s="36"/>
      <c r="D7" s="37"/>
      <c r="E7" s="36"/>
      <c r="F7" s="37"/>
      <c r="G7" s="38"/>
      <c r="H7" s="28"/>
      <c r="I7" s="28"/>
      <c r="J7" s="126">
        <f t="shared" ref="J7:AN7" ca="1" si="1">SUM(J12:J39)</f>
        <v>0</v>
      </c>
      <c r="K7" s="126">
        <f t="shared" ca="1" si="1"/>
        <v>0</v>
      </c>
      <c r="L7" s="126">
        <f t="shared" ca="1" si="1"/>
        <v>0</v>
      </c>
      <c r="M7" s="126">
        <f t="shared" ca="1" si="1"/>
        <v>0</v>
      </c>
      <c r="N7" s="126">
        <f t="shared" ca="1" si="1"/>
        <v>0</v>
      </c>
      <c r="O7" s="126">
        <f t="shared" ca="1" si="1"/>
        <v>0</v>
      </c>
      <c r="P7" s="126">
        <f t="shared" ca="1" si="1"/>
        <v>0</v>
      </c>
      <c r="Q7" s="126">
        <f t="shared" ca="1" si="1"/>
        <v>0</v>
      </c>
      <c r="R7" s="126">
        <f t="shared" ca="1" si="1"/>
        <v>0</v>
      </c>
      <c r="S7" s="126">
        <f t="shared" ca="1" si="1"/>
        <v>0</v>
      </c>
      <c r="T7" s="126">
        <f t="shared" ca="1" si="1"/>
        <v>0</v>
      </c>
      <c r="U7" s="126">
        <f t="shared" ca="1" si="1"/>
        <v>0</v>
      </c>
      <c r="V7" s="126">
        <f t="shared" ca="1" si="1"/>
        <v>0</v>
      </c>
      <c r="W7" s="126">
        <f t="shared" ca="1" si="1"/>
        <v>0</v>
      </c>
      <c r="X7" s="126">
        <f t="shared" ca="1" si="1"/>
        <v>0</v>
      </c>
      <c r="Y7" s="126">
        <f t="shared" ca="1" si="1"/>
        <v>0</v>
      </c>
      <c r="Z7" s="126">
        <f t="shared" ca="1" si="1"/>
        <v>0</v>
      </c>
      <c r="AA7" s="126">
        <f t="shared" ca="1" si="1"/>
        <v>0</v>
      </c>
      <c r="AB7" s="126">
        <f t="shared" ca="1" si="1"/>
        <v>0</v>
      </c>
      <c r="AC7" s="126">
        <f t="shared" ca="1" si="1"/>
        <v>0</v>
      </c>
      <c r="AD7" s="126">
        <f t="shared" ca="1" si="1"/>
        <v>0</v>
      </c>
      <c r="AE7" s="126">
        <f t="shared" ca="1" si="1"/>
        <v>0</v>
      </c>
      <c r="AF7" s="126">
        <f t="shared" ca="1" si="1"/>
        <v>0</v>
      </c>
      <c r="AG7" s="126">
        <f t="shared" ca="1" si="1"/>
        <v>0</v>
      </c>
      <c r="AH7" s="126">
        <f t="shared" ca="1" si="1"/>
        <v>0</v>
      </c>
      <c r="AI7" s="126">
        <f t="shared" ca="1" si="1"/>
        <v>0</v>
      </c>
      <c r="AJ7" s="126">
        <f t="shared" ca="1" si="1"/>
        <v>0</v>
      </c>
      <c r="AK7" s="126">
        <f t="shared" ca="1" si="1"/>
        <v>0</v>
      </c>
      <c r="AL7" s="126">
        <f t="shared" ca="1" si="1"/>
        <v>0</v>
      </c>
      <c r="AM7" s="126">
        <f t="shared" ca="1" si="1"/>
        <v>0</v>
      </c>
      <c r="AN7" s="126">
        <f t="shared" ca="1" si="1"/>
        <v>0</v>
      </c>
    </row>
    <row r="8" spans="1:55" ht="16.5" thickBot="1">
      <c r="A8" s="40"/>
      <c r="B8" s="26"/>
      <c r="C8" s="41"/>
      <c r="D8" s="42"/>
      <c r="E8" s="41"/>
      <c r="F8" s="42"/>
      <c r="G8" s="43"/>
      <c r="H8" s="28"/>
      <c r="I8" s="28"/>
      <c r="J8" s="44" t="s">
        <v>228</v>
      </c>
    </row>
    <row r="9" spans="1:55" ht="16.5" thickBot="1">
      <c r="A9" s="45"/>
      <c r="B9" s="34" t="s">
        <v>217</v>
      </c>
      <c r="C9" s="46">
        <f ca="1">J11</f>
        <v>42405.034134606482</v>
      </c>
      <c r="D9" s="34"/>
      <c r="E9" s="47"/>
      <c r="F9" s="34"/>
      <c r="G9" s="48"/>
      <c r="H9" s="126">
        <f ca="1">SUM(H12:H39)</f>
        <v>0</v>
      </c>
      <c r="I9" s="33"/>
      <c r="J9" s="49">
        <v>0</v>
      </c>
      <c r="K9" s="49">
        <v>1</v>
      </c>
      <c r="L9" s="49">
        <v>2</v>
      </c>
      <c r="M9" s="49">
        <v>3</v>
      </c>
      <c r="N9" s="49">
        <v>4</v>
      </c>
      <c r="O9" s="49">
        <v>5</v>
      </c>
      <c r="P9" s="49">
        <v>6</v>
      </c>
      <c r="Q9" s="49">
        <v>7</v>
      </c>
      <c r="R9" s="49">
        <v>8</v>
      </c>
      <c r="S9" s="49">
        <v>9</v>
      </c>
      <c r="T9" s="49">
        <v>10</v>
      </c>
      <c r="U9" s="49">
        <v>11</v>
      </c>
      <c r="V9" s="49">
        <v>12</v>
      </c>
      <c r="W9" s="49">
        <v>13</v>
      </c>
      <c r="X9" s="49">
        <v>14</v>
      </c>
      <c r="Y9" s="49">
        <v>15</v>
      </c>
      <c r="Z9" s="49">
        <v>16</v>
      </c>
      <c r="AA9" s="49">
        <v>17</v>
      </c>
      <c r="AB9" s="49">
        <v>18</v>
      </c>
      <c r="AC9" s="49">
        <v>19</v>
      </c>
      <c r="AD9" s="49">
        <v>20</v>
      </c>
      <c r="AE9" s="49">
        <v>21</v>
      </c>
      <c r="AF9" s="49">
        <v>22</v>
      </c>
      <c r="AG9" s="49">
        <v>23</v>
      </c>
      <c r="AH9" s="49">
        <v>24</v>
      </c>
      <c r="AI9" s="49">
        <v>25</v>
      </c>
      <c r="AJ9" s="49">
        <v>26</v>
      </c>
      <c r="AK9" s="49">
        <v>27</v>
      </c>
      <c r="AL9" s="49">
        <v>28</v>
      </c>
      <c r="AM9" s="49">
        <v>29</v>
      </c>
      <c r="AN9" s="49">
        <v>30</v>
      </c>
      <c r="AY9" s="3" t="s">
        <v>229</v>
      </c>
      <c r="BB9" s="3" t="s">
        <v>230</v>
      </c>
    </row>
    <row r="10" spans="1:55" ht="14.25" thickTop="1" thickBot="1">
      <c r="A10" s="3"/>
      <c r="AX10" s="64">
        <v>40515.032749305552</v>
      </c>
      <c r="AY10" s="127">
        <v>10000</v>
      </c>
      <c r="AZ10" s="65">
        <v>40534.032749305552</v>
      </c>
      <c r="BA10" s="11"/>
      <c r="BB10" s="11"/>
      <c r="BC10" s="11"/>
    </row>
    <row r="11" spans="1:55" ht="16.5" thickBot="1">
      <c r="A11" s="137" t="s">
        <v>231</v>
      </c>
      <c r="B11" s="138" t="s">
        <v>21</v>
      </c>
      <c r="C11" s="69" t="s">
        <v>18</v>
      </c>
      <c r="D11" s="51" t="s">
        <v>219</v>
      </c>
      <c r="E11" s="52" t="s">
        <v>220</v>
      </c>
      <c r="F11" s="51" t="s">
        <v>232</v>
      </c>
      <c r="G11" s="54" t="s">
        <v>222</v>
      </c>
      <c r="H11" s="55" t="s">
        <v>223</v>
      </c>
      <c r="I11" s="128"/>
      <c r="J11" s="57">
        <f t="shared" ref="J11:AN11" ca="1" si="2">NOW()+J9</f>
        <v>42405.034134606482</v>
      </c>
      <c r="K11" s="58">
        <f t="shared" ca="1" si="2"/>
        <v>42406.034134606482</v>
      </c>
      <c r="L11" s="58">
        <f t="shared" ca="1" si="2"/>
        <v>42407.034134606482</v>
      </c>
      <c r="M11" s="58">
        <f t="shared" ca="1" si="2"/>
        <v>42408.034134606482</v>
      </c>
      <c r="N11" s="58">
        <f t="shared" ca="1" si="2"/>
        <v>42409.034134606482</v>
      </c>
      <c r="O11" s="58">
        <f t="shared" ca="1" si="2"/>
        <v>42410.034134606482</v>
      </c>
      <c r="P11" s="58">
        <f t="shared" ca="1" si="2"/>
        <v>42411.034134606482</v>
      </c>
      <c r="Q11" s="58">
        <f t="shared" ca="1" si="2"/>
        <v>42412.034134606482</v>
      </c>
      <c r="R11" s="58">
        <f t="shared" ca="1" si="2"/>
        <v>42413.034134606482</v>
      </c>
      <c r="S11" s="58">
        <f t="shared" ca="1" si="2"/>
        <v>42414.034134606482</v>
      </c>
      <c r="T11" s="58">
        <f t="shared" ca="1" si="2"/>
        <v>42415.034134606482</v>
      </c>
      <c r="U11" s="58">
        <f t="shared" ca="1" si="2"/>
        <v>42416.034134606482</v>
      </c>
      <c r="V11" s="58">
        <f t="shared" ca="1" si="2"/>
        <v>42417.034134606482</v>
      </c>
      <c r="W11" s="58">
        <f t="shared" ca="1" si="2"/>
        <v>42418.034134606482</v>
      </c>
      <c r="X11" s="58">
        <f t="shared" ca="1" si="2"/>
        <v>42419.034134606482</v>
      </c>
      <c r="Y11" s="58">
        <f t="shared" ca="1" si="2"/>
        <v>42420.034134606482</v>
      </c>
      <c r="Z11" s="58">
        <f t="shared" ca="1" si="2"/>
        <v>42421.034134606482</v>
      </c>
      <c r="AA11" s="58">
        <f t="shared" ca="1" si="2"/>
        <v>42422.034134606482</v>
      </c>
      <c r="AB11" s="58">
        <f t="shared" ca="1" si="2"/>
        <v>42423.034134606482</v>
      </c>
      <c r="AC11" s="58">
        <f t="shared" ca="1" si="2"/>
        <v>42424.034134606482</v>
      </c>
      <c r="AD11" s="58">
        <f t="shared" ca="1" si="2"/>
        <v>42425.034134606482</v>
      </c>
      <c r="AE11" s="58">
        <f t="shared" ca="1" si="2"/>
        <v>42426.034134606482</v>
      </c>
      <c r="AF11" s="58">
        <f t="shared" ca="1" si="2"/>
        <v>42427.034134606482</v>
      </c>
      <c r="AG11" s="58">
        <f t="shared" ca="1" si="2"/>
        <v>42428.034134606482</v>
      </c>
      <c r="AH11" s="58">
        <f t="shared" ca="1" si="2"/>
        <v>42429.034134606482</v>
      </c>
      <c r="AI11" s="58">
        <f t="shared" ca="1" si="2"/>
        <v>42430.034134606482</v>
      </c>
      <c r="AJ11" s="58">
        <f t="shared" ca="1" si="2"/>
        <v>42431.034134606482</v>
      </c>
      <c r="AK11" s="58">
        <f t="shared" ca="1" si="2"/>
        <v>42432.034134606482</v>
      </c>
      <c r="AL11" s="58">
        <f t="shared" ca="1" si="2"/>
        <v>42433.034134606482</v>
      </c>
      <c r="AM11" s="58">
        <f t="shared" ca="1" si="2"/>
        <v>42434.034134606482</v>
      </c>
      <c r="AN11" s="58">
        <f t="shared" ca="1" si="2"/>
        <v>42435.034134606482</v>
      </c>
      <c r="AX11" s="64">
        <v>40537.032749305552</v>
      </c>
      <c r="AY11" s="127">
        <v>2685</v>
      </c>
      <c r="AZ11" s="65">
        <v>40544.032749305552</v>
      </c>
    </row>
    <row r="12" spans="1:55" ht="16.5" thickTop="1">
      <c r="A12" s="209"/>
      <c r="B12" s="152"/>
      <c r="C12" s="153"/>
      <c r="D12" s="154"/>
      <c r="E12" s="155"/>
      <c r="F12" s="156"/>
      <c r="G12" s="135">
        <f t="shared" ref="G12:G39" ca="1" si="3">IF(D12="",0,IF(F12="",IF(NOW()&gt;E12,TRUNC(NOW()-E12),0),0))</f>
        <v>0</v>
      </c>
      <c r="H12" s="129">
        <f t="shared" ref="H12:H39" ca="1" si="4">IF($E12&lt;J$11,$D12,0)</f>
        <v>0</v>
      </c>
      <c r="I12" s="130"/>
      <c r="J12" s="129">
        <f t="shared" ref="J12:Y27" ca="1" si="5">IF(ABS($E12-J$11)&lt;0.5,$D12,0)</f>
        <v>0</v>
      </c>
      <c r="K12" s="129">
        <f t="shared" ca="1" si="5"/>
        <v>0</v>
      </c>
      <c r="L12" s="129">
        <f t="shared" ca="1" si="5"/>
        <v>0</v>
      </c>
      <c r="M12" s="129">
        <f t="shared" ca="1" si="5"/>
        <v>0</v>
      </c>
      <c r="N12" s="129">
        <f t="shared" ca="1" si="5"/>
        <v>0</v>
      </c>
      <c r="O12" s="129">
        <f t="shared" ca="1" si="5"/>
        <v>0</v>
      </c>
      <c r="P12" s="129">
        <f t="shared" ca="1" si="5"/>
        <v>0</v>
      </c>
      <c r="Q12" s="129">
        <f t="shared" ca="1" si="5"/>
        <v>0</v>
      </c>
      <c r="R12" s="129">
        <f t="shared" ca="1" si="5"/>
        <v>0</v>
      </c>
      <c r="S12" s="129">
        <f t="shared" ca="1" si="5"/>
        <v>0</v>
      </c>
      <c r="T12" s="129">
        <f t="shared" ca="1" si="5"/>
        <v>0</v>
      </c>
      <c r="U12" s="129">
        <f t="shared" ca="1" si="5"/>
        <v>0</v>
      </c>
      <c r="V12" s="129">
        <f t="shared" ca="1" si="5"/>
        <v>0</v>
      </c>
      <c r="W12" s="129">
        <f t="shared" ca="1" si="5"/>
        <v>0</v>
      </c>
      <c r="X12" s="129">
        <f t="shared" ca="1" si="5"/>
        <v>0</v>
      </c>
      <c r="Y12" s="129">
        <f t="shared" ca="1" si="5"/>
        <v>0</v>
      </c>
      <c r="Z12" s="129">
        <f t="shared" ref="Z12:AN27" ca="1" si="6">IF(ABS($E12-Z$11)&lt;0.5,$D12,0)</f>
        <v>0</v>
      </c>
      <c r="AA12" s="129">
        <f t="shared" ca="1" si="6"/>
        <v>0</v>
      </c>
      <c r="AB12" s="129">
        <f t="shared" ca="1" si="6"/>
        <v>0</v>
      </c>
      <c r="AC12" s="129">
        <f t="shared" ca="1" si="6"/>
        <v>0</v>
      </c>
      <c r="AD12" s="129">
        <f t="shared" ca="1" si="6"/>
        <v>0</v>
      </c>
      <c r="AE12" s="129">
        <f t="shared" ca="1" si="6"/>
        <v>0</v>
      </c>
      <c r="AF12" s="129">
        <f t="shared" ca="1" si="6"/>
        <v>0</v>
      </c>
      <c r="AG12" s="129">
        <f t="shared" ca="1" si="6"/>
        <v>0</v>
      </c>
      <c r="AH12" s="129">
        <f t="shared" ca="1" si="6"/>
        <v>0</v>
      </c>
      <c r="AI12" s="129">
        <f t="shared" ca="1" si="6"/>
        <v>0</v>
      </c>
      <c r="AJ12" s="129">
        <f t="shared" ca="1" si="6"/>
        <v>0</v>
      </c>
      <c r="AK12" s="129">
        <f t="shared" ca="1" si="6"/>
        <v>0</v>
      </c>
      <c r="AL12" s="129">
        <f t="shared" ca="1" si="6"/>
        <v>0</v>
      </c>
      <c r="AM12" s="129">
        <f t="shared" ca="1" si="6"/>
        <v>0</v>
      </c>
      <c r="AN12" s="129">
        <f t="shared" ca="1" si="6"/>
        <v>0</v>
      </c>
      <c r="AQ12"/>
      <c r="AS12" s="63"/>
      <c r="AX12" s="64">
        <v>40556.032749305552</v>
      </c>
      <c r="AY12" s="127">
        <v>5997</v>
      </c>
      <c r="AZ12" s="65">
        <v>40561.032749305552</v>
      </c>
      <c r="BA12" s="59">
        <v>0</v>
      </c>
      <c r="BB12" s="127">
        <v>0</v>
      </c>
      <c r="BC12" s="60">
        <v>0</v>
      </c>
    </row>
    <row r="13" spans="1:55" ht="15.75">
      <c r="A13" s="210"/>
      <c r="B13" s="157"/>
      <c r="C13" s="158"/>
      <c r="D13" s="159"/>
      <c r="E13" s="160"/>
      <c r="F13" s="161"/>
      <c r="G13" s="136">
        <f t="shared" ca="1" si="3"/>
        <v>0</v>
      </c>
      <c r="H13" s="129">
        <f t="shared" ca="1" si="4"/>
        <v>0</v>
      </c>
      <c r="I13" s="130"/>
      <c r="J13" s="129">
        <f t="shared" ca="1" si="5"/>
        <v>0</v>
      </c>
      <c r="K13" s="129">
        <f t="shared" ca="1" si="5"/>
        <v>0</v>
      </c>
      <c r="L13" s="129">
        <f t="shared" ca="1" si="5"/>
        <v>0</v>
      </c>
      <c r="M13" s="129">
        <f t="shared" ca="1" si="5"/>
        <v>0</v>
      </c>
      <c r="N13" s="129">
        <f t="shared" ca="1" si="5"/>
        <v>0</v>
      </c>
      <c r="O13" s="129">
        <f t="shared" ca="1" si="5"/>
        <v>0</v>
      </c>
      <c r="P13" s="129">
        <f t="shared" ca="1" si="5"/>
        <v>0</v>
      </c>
      <c r="Q13" s="129">
        <f t="shared" ca="1" si="5"/>
        <v>0</v>
      </c>
      <c r="R13" s="129">
        <f t="shared" ca="1" si="5"/>
        <v>0</v>
      </c>
      <c r="S13" s="129">
        <f t="shared" ca="1" si="5"/>
        <v>0</v>
      </c>
      <c r="T13" s="129">
        <f t="shared" ca="1" si="5"/>
        <v>0</v>
      </c>
      <c r="U13" s="129">
        <f t="shared" ca="1" si="5"/>
        <v>0</v>
      </c>
      <c r="V13" s="129">
        <f t="shared" ca="1" si="5"/>
        <v>0</v>
      </c>
      <c r="W13" s="129">
        <f t="shared" ca="1" si="5"/>
        <v>0</v>
      </c>
      <c r="X13" s="129">
        <f t="shared" ca="1" si="5"/>
        <v>0</v>
      </c>
      <c r="Y13" s="129">
        <f t="shared" ca="1" si="5"/>
        <v>0</v>
      </c>
      <c r="Z13" s="129">
        <f t="shared" ca="1" si="6"/>
        <v>0</v>
      </c>
      <c r="AA13" s="129">
        <f t="shared" ca="1" si="6"/>
        <v>0</v>
      </c>
      <c r="AB13" s="129">
        <f t="shared" ca="1" si="6"/>
        <v>0</v>
      </c>
      <c r="AC13" s="129">
        <f t="shared" ca="1" si="6"/>
        <v>0</v>
      </c>
      <c r="AD13" s="129">
        <f t="shared" ca="1" si="6"/>
        <v>0</v>
      </c>
      <c r="AE13" s="129">
        <f t="shared" ca="1" si="6"/>
        <v>0</v>
      </c>
      <c r="AF13" s="129">
        <f t="shared" ca="1" si="6"/>
        <v>0</v>
      </c>
      <c r="AG13" s="129">
        <f t="shared" ca="1" si="6"/>
        <v>0</v>
      </c>
      <c r="AH13" s="129">
        <f t="shared" ca="1" si="6"/>
        <v>0</v>
      </c>
      <c r="AI13" s="129">
        <f t="shared" ca="1" si="6"/>
        <v>0</v>
      </c>
      <c r="AJ13" s="129">
        <f t="shared" ca="1" si="6"/>
        <v>0</v>
      </c>
      <c r="AK13" s="129">
        <f t="shared" ca="1" si="6"/>
        <v>0</v>
      </c>
      <c r="AL13" s="129">
        <f t="shared" ca="1" si="6"/>
        <v>0</v>
      </c>
      <c r="AM13" s="129">
        <f t="shared" ca="1" si="6"/>
        <v>0</v>
      </c>
      <c r="AN13" s="129">
        <f t="shared" ca="1" si="6"/>
        <v>0</v>
      </c>
      <c r="AQ13"/>
      <c r="AS13" s="63"/>
      <c r="AX13" s="64">
        <v>40507.032749305552</v>
      </c>
      <c r="AY13" s="127">
        <v>4168.57</v>
      </c>
      <c r="AZ13" s="65">
        <v>40562.032749305552</v>
      </c>
      <c r="BA13" s="64">
        <v>0</v>
      </c>
      <c r="BB13" s="127">
        <v>0</v>
      </c>
      <c r="BC13" s="65">
        <v>0</v>
      </c>
    </row>
    <row r="14" spans="1:55" ht="15.75">
      <c r="A14" s="210"/>
      <c r="B14" s="157"/>
      <c r="C14" s="158"/>
      <c r="D14" s="159"/>
      <c r="E14" s="160"/>
      <c r="F14" s="161"/>
      <c r="G14" s="136">
        <f t="shared" ca="1" si="3"/>
        <v>0</v>
      </c>
      <c r="H14" s="129">
        <f t="shared" ca="1" si="4"/>
        <v>0</v>
      </c>
      <c r="I14" s="130"/>
      <c r="J14" s="129">
        <f t="shared" ca="1" si="5"/>
        <v>0</v>
      </c>
      <c r="K14" s="129">
        <f t="shared" ca="1" si="5"/>
        <v>0</v>
      </c>
      <c r="L14" s="129">
        <f t="shared" ca="1" si="5"/>
        <v>0</v>
      </c>
      <c r="M14" s="129">
        <f t="shared" ca="1" si="5"/>
        <v>0</v>
      </c>
      <c r="N14" s="129">
        <f t="shared" ca="1" si="5"/>
        <v>0</v>
      </c>
      <c r="O14" s="129">
        <f t="shared" ca="1" si="5"/>
        <v>0</v>
      </c>
      <c r="P14" s="129">
        <f t="shared" ca="1" si="5"/>
        <v>0</v>
      </c>
      <c r="Q14" s="129">
        <f t="shared" ca="1" si="5"/>
        <v>0</v>
      </c>
      <c r="R14" s="129">
        <f t="shared" ca="1" si="5"/>
        <v>0</v>
      </c>
      <c r="S14" s="129">
        <f t="shared" ca="1" si="5"/>
        <v>0</v>
      </c>
      <c r="T14" s="129">
        <f t="shared" ca="1" si="5"/>
        <v>0</v>
      </c>
      <c r="U14" s="129">
        <f t="shared" ca="1" si="5"/>
        <v>0</v>
      </c>
      <c r="V14" s="129">
        <f t="shared" ca="1" si="5"/>
        <v>0</v>
      </c>
      <c r="W14" s="129">
        <f t="shared" ca="1" si="5"/>
        <v>0</v>
      </c>
      <c r="X14" s="129">
        <f t="shared" ca="1" si="5"/>
        <v>0</v>
      </c>
      <c r="Y14" s="129">
        <f t="shared" ca="1" si="5"/>
        <v>0</v>
      </c>
      <c r="Z14" s="129">
        <f t="shared" ca="1" si="6"/>
        <v>0</v>
      </c>
      <c r="AA14" s="129">
        <f t="shared" ca="1" si="6"/>
        <v>0</v>
      </c>
      <c r="AB14" s="129">
        <f t="shared" ca="1" si="6"/>
        <v>0</v>
      </c>
      <c r="AC14" s="129">
        <f t="shared" ca="1" si="6"/>
        <v>0</v>
      </c>
      <c r="AD14" s="129">
        <f t="shared" ca="1" si="6"/>
        <v>0</v>
      </c>
      <c r="AE14" s="129">
        <f t="shared" ca="1" si="6"/>
        <v>0</v>
      </c>
      <c r="AF14" s="129">
        <f t="shared" ca="1" si="6"/>
        <v>0</v>
      </c>
      <c r="AG14" s="129">
        <f t="shared" ca="1" si="6"/>
        <v>0</v>
      </c>
      <c r="AH14" s="129">
        <f t="shared" ca="1" si="6"/>
        <v>0</v>
      </c>
      <c r="AI14" s="129">
        <f t="shared" ca="1" si="6"/>
        <v>0</v>
      </c>
      <c r="AJ14" s="129">
        <f t="shared" ca="1" si="6"/>
        <v>0</v>
      </c>
      <c r="AK14" s="129">
        <f t="shared" ca="1" si="6"/>
        <v>0</v>
      </c>
      <c r="AL14" s="129">
        <f t="shared" ca="1" si="6"/>
        <v>0</v>
      </c>
      <c r="AM14" s="129">
        <f t="shared" ca="1" si="6"/>
        <v>0</v>
      </c>
      <c r="AN14" s="129">
        <f t="shared" ca="1" si="6"/>
        <v>0</v>
      </c>
      <c r="AQ14"/>
      <c r="AS14" s="63"/>
      <c r="AX14" s="64">
        <v>40544.032749305552</v>
      </c>
      <c r="AY14" s="127">
        <v>66150.25</v>
      </c>
      <c r="AZ14" s="65">
        <v>40586.032749305552</v>
      </c>
      <c r="BA14" s="64">
        <v>0</v>
      </c>
      <c r="BB14" s="127">
        <v>0</v>
      </c>
      <c r="BC14" s="65">
        <v>0</v>
      </c>
    </row>
    <row r="15" spans="1:55" ht="15.75">
      <c r="A15" s="211"/>
      <c r="B15" s="157"/>
      <c r="C15" s="158"/>
      <c r="D15" s="159"/>
      <c r="E15" s="160"/>
      <c r="F15" s="161"/>
      <c r="G15" s="136">
        <f t="shared" ca="1" si="3"/>
        <v>0</v>
      </c>
      <c r="H15" s="129">
        <f t="shared" ca="1" si="4"/>
        <v>0</v>
      </c>
      <c r="I15" s="130"/>
      <c r="J15" s="129">
        <f t="shared" ca="1" si="5"/>
        <v>0</v>
      </c>
      <c r="K15" s="129">
        <f t="shared" ca="1" si="5"/>
        <v>0</v>
      </c>
      <c r="L15" s="129">
        <f t="shared" ca="1" si="5"/>
        <v>0</v>
      </c>
      <c r="M15" s="129">
        <f t="shared" ca="1" si="5"/>
        <v>0</v>
      </c>
      <c r="N15" s="129">
        <f t="shared" ca="1" si="5"/>
        <v>0</v>
      </c>
      <c r="O15" s="129">
        <f t="shared" ca="1" si="5"/>
        <v>0</v>
      </c>
      <c r="P15" s="129">
        <f t="shared" ca="1" si="5"/>
        <v>0</v>
      </c>
      <c r="Q15" s="129">
        <f t="shared" ca="1" si="5"/>
        <v>0</v>
      </c>
      <c r="R15" s="129">
        <f t="shared" ca="1" si="5"/>
        <v>0</v>
      </c>
      <c r="S15" s="129">
        <f t="shared" ca="1" si="5"/>
        <v>0</v>
      </c>
      <c r="T15" s="129">
        <f t="shared" ca="1" si="5"/>
        <v>0</v>
      </c>
      <c r="U15" s="129">
        <f t="shared" ca="1" si="5"/>
        <v>0</v>
      </c>
      <c r="V15" s="129">
        <f t="shared" ca="1" si="5"/>
        <v>0</v>
      </c>
      <c r="W15" s="129">
        <f t="shared" ca="1" si="5"/>
        <v>0</v>
      </c>
      <c r="X15" s="129">
        <f t="shared" ca="1" si="5"/>
        <v>0</v>
      </c>
      <c r="Y15" s="129">
        <f t="shared" ca="1" si="5"/>
        <v>0</v>
      </c>
      <c r="Z15" s="129">
        <f t="shared" ca="1" si="6"/>
        <v>0</v>
      </c>
      <c r="AA15" s="129">
        <f t="shared" ca="1" si="6"/>
        <v>0</v>
      </c>
      <c r="AB15" s="129">
        <f t="shared" ca="1" si="6"/>
        <v>0</v>
      </c>
      <c r="AC15" s="129">
        <f t="shared" ca="1" si="6"/>
        <v>0</v>
      </c>
      <c r="AD15" s="129">
        <f t="shared" ca="1" si="6"/>
        <v>0</v>
      </c>
      <c r="AE15" s="129">
        <f t="shared" ca="1" si="6"/>
        <v>0</v>
      </c>
      <c r="AF15" s="129">
        <f t="shared" ca="1" si="6"/>
        <v>0</v>
      </c>
      <c r="AG15" s="129">
        <f t="shared" ca="1" si="6"/>
        <v>0</v>
      </c>
      <c r="AH15" s="129">
        <f t="shared" ca="1" si="6"/>
        <v>0</v>
      </c>
      <c r="AI15" s="129">
        <f t="shared" ca="1" si="6"/>
        <v>0</v>
      </c>
      <c r="AJ15" s="129">
        <f t="shared" ca="1" si="6"/>
        <v>0</v>
      </c>
      <c r="AK15" s="129">
        <f t="shared" ca="1" si="6"/>
        <v>0</v>
      </c>
      <c r="AL15" s="129">
        <f t="shared" ca="1" si="6"/>
        <v>0</v>
      </c>
      <c r="AM15" s="129">
        <f t="shared" ca="1" si="6"/>
        <v>0</v>
      </c>
      <c r="AN15" s="129">
        <f t="shared" ca="1" si="6"/>
        <v>0</v>
      </c>
      <c r="AQ15"/>
      <c r="AS15" s="63"/>
      <c r="AX15" s="64">
        <v>40550.032749305552</v>
      </c>
      <c r="AY15" s="127">
        <v>24625.51</v>
      </c>
      <c r="AZ15" s="65">
        <v>40606.032749305552</v>
      </c>
      <c r="BA15" s="64">
        <v>0</v>
      </c>
      <c r="BB15" s="127">
        <v>0</v>
      </c>
      <c r="BC15" s="65">
        <v>0</v>
      </c>
    </row>
    <row r="16" spans="1:55" ht="15.75">
      <c r="A16" s="211"/>
      <c r="B16" s="157"/>
      <c r="C16" s="158"/>
      <c r="D16" s="159"/>
      <c r="E16" s="160"/>
      <c r="F16" s="161"/>
      <c r="G16" s="136">
        <f t="shared" ca="1" si="3"/>
        <v>0</v>
      </c>
      <c r="H16" s="129">
        <f t="shared" ca="1" si="4"/>
        <v>0</v>
      </c>
      <c r="I16" s="130"/>
      <c r="J16" s="129">
        <f t="shared" ca="1" si="5"/>
        <v>0</v>
      </c>
      <c r="K16" s="129">
        <f t="shared" ca="1" si="5"/>
        <v>0</v>
      </c>
      <c r="L16" s="129">
        <f t="shared" ca="1" si="5"/>
        <v>0</v>
      </c>
      <c r="M16" s="129">
        <f t="shared" ca="1" si="5"/>
        <v>0</v>
      </c>
      <c r="N16" s="129">
        <f t="shared" ca="1" si="5"/>
        <v>0</v>
      </c>
      <c r="O16" s="129">
        <f t="shared" ca="1" si="5"/>
        <v>0</v>
      </c>
      <c r="P16" s="129">
        <f t="shared" ca="1" si="5"/>
        <v>0</v>
      </c>
      <c r="Q16" s="129">
        <f t="shared" ca="1" si="5"/>
        <v>0</v>
      </c>
      <c r="R16" s="129">
        <f t="shared" ca="1" si="5"/>
        <v>0</v>
      </c>
      <c r="S16" s="129">
        <f t="shared" ca="1" si="5"/>
        <v>0</v>
      </c>
      <c r="T16" s="129">
        <f t="shared" ca="1" si="5"/>
        <v>0</v>
      </c>
      <c r="U16" s="129">
        <f t="shared" ca="1" si="5"/>
        <v>0</v>
      </c>
      <c r="V16" s="129">
        <f t="shared" ca="1" si="5"/>
        <v>0</v>
      </c>
      <c r="W16" s="129">
        <f t="shared" ca="1" si="5"/>
        <v>0</v>
      </c>
      <c r="X16" s="129">
        <f t="shared" ca="1" si="5"/>
        <v>0</v>
      </c>
      <c r="Y16" s="129">
        <f t="shared" ca="1" si="5"/>
        <v>0</v>
      </c>
      <c r="Z16" s="129">
        <f t="shared" ca="1" si="6"/>
        <v>0</v>
      </c>
      <c r="AA16" s="129">
        <f t="shared" ca="1" si="6"/>
        <v>0</v>
      </c>
      <c r="AB16" s="129">
        <f t="shared" ca="1" si="6"/>
        <v>0</v>
      </c>
      <c r="AC16" s="129">
        <f t="shared" ca="1" si="6"/>
        <v>0</v>
      </c>
      <c r="AD16" s="129">
        <f t="shared" ca="1" si="6"/>
        <v>0</v>
      </c>
      <c r="AE16" s="129">
        <f t="shared" ca="1" si="6"/>
        <v>0</v>
      </c>
      <c r="AF16" s="129">
        <f t="shared" ca="1" si="6"/>
        <v>0</v>
      </c>
      <c r="AG16" s="129">
        <f t="shared" ca="1" si="6"/>
        <v>0</v>
      </c>
      <c r="AH16" s="129">
        <f t="shared" ca="1" si="6"/>
        <v>0</v>
      </c>
      <c r="AI16" s="129">
        <f t="shared" ca="1" si="6"/>
        <v>0</v>
      </c>
      <c r="AJ16" s="129">
        <f t="shared" ca="1" si="6"/>
        <v>0</v>
      </c>
      <c r="AK16" s="129">
        <f t="shared" ca="1" si="6"/>
        <v>0</v>
      </c>
      <c r="AL16" s="129">
        <f t="shared" ca="1" si="6"/>
        <v>0</v>
      </c>
      <c r="AM16" s="129">
        <f t="shared" ca="1" si="6"/>
        <v>0</v>
      </c>
      <c r="AN16" s="129">
        <f t="shared" ca="1" si="6"/>
        <v>0</v>
      </c>
      <c r="AQ16"/>
      <c r="AS16" s="63"/>
      <c r="AX16" s="64">
        <v>40497.032749305552</v>
      </c>
      <c r="AY16" s="127">
        <v>1496451.69</v>
      </c>
      <c r="AZ16" s="65">
        <v>40514.032749305552</v>
      </c>
      <c r="BA16" s="64">
        <v>0</v>
      </c>
      <c r="BB16" s="127">
        <v>0</v>
      </c>
      <c r="BC16" s="65">
        <v>0</v>
      </c>
    </row>
    <row r="17" spans="1:55" ht="15.75">
      <c r="A17" s="211"/>
      <c r="B17" s="157"/>
      <c r="C17" s="158"/>
      <c r="D17" s="159"/>
      <c r="E17" s="160"/>
      <c r="F17" s="161"/>
      <c r="G17" s="136">
        <f t="shared" ca="1" si="3"/>
        <v>0</v>
      </c>
      <c r="H17" s="129">
        <f t="shared" ca="1" si="4"/>
        <v>0</v>
      </c>
      <c r="I17" s="130"/>
      <c r="J17" s="129">
        <f t="shared" ca="1" si="5"/>
        <v>0</v>
      </c>
      <c r="K17" s="129">
        <f t="shared" ca="1" si="5"/>
        <v>0</v>
      </c>
      <c r="L17" s="129">
        <f t="shared" ca="1" si="5"/>
        <v>0</v>
      </c>
      <c r="M17" s="129">
        <f t="shared" ca="1" si="5"/>
        <v>0</v>
      </c>
      <c r="N17" s="129">
        <f t="shared" ca="1" si="5"/>
        <v>0</v>
      </c>
      <c r="O17" s="129">
        <f t="shared" ca="1" si="5"/>
        <v>0</v>
      </c>
      <c r="P17" s="129">
        <f t="shared" ca="1" si="5"/>
        <v>0</v>
      </c>
      <c r="Q17" s="129">
        <f t="shared" ca="1" si="5"/>
        <v>0</v>
      </c>
      <c r="R17" s="129">
        <f t="shared" ca="1" si="5"/>
        <v>0</v>
      </c>
      <c r="S17" s="129">
        <f t="shared" ca="1" si="5"/>
        <v>0</v>
      </c>
      <c r="T17" s="129">
        <f t="shared" ca="1" si="5"/>
        <v>0</v>
      </c>
      <c r="U17" s="129">
        <f t="shared" ca="1" si="5"/>
        <v>0</v>
      </c>
      <c r="V17" s="129">
        <f t="shared" ca="1" si="5"/>
        <v>0</v>
      </c>
      <c r="W17" s="129">
        <f t="shared" ca="1" si="5"/>
        <v>0</v>
      </c>
      <c r="X17" s="129">
        <f t="shared" ca="1" si="5"/>
        <v>0</v>
      </c>
      <c r="Y17" s="129">
        <f t="shared" ca="1" si="5"/>
        <v>0</v>
      </c>
      <c r="Z17" s="129">
        <f t="shared" ca="1" si="6"/>
        <v>0</v>
      </c>
      <c r="AA17" s="129">
        <f t="shared" ca="1" si="6"/>
        <v>0</v>
      </c>
      <c r="AB17" s="129">
        <f t="shared" ca="1" si="6"/>
        <v>0</v>
      </c>
      <c r="AC17" s="129">
        <f t="shared" ca="1" si="6"/>
        <v>0</v>
      </c>
      <c r="AD17" s="129">
        <f t="shared" ca="1" si="6"/>
        <v>0</v>
      </c>
      <c r="AE17" s="129">
        <f t="shared" ca="1" si="6"/>
        <v>0</v>
      </c>
      <c r="AF17" s="129">
        <f t="shared" ca="1" si="6"/>
        <v>0</v>
      </c>
      <c r="AG17" s="129">
        <f t="shared" ca="1" si="6"/>
        <v>0</v>
      </c>
      <c r="AH17" s="129">
        <f t="shared" ca="1" si="6"/>
        <v>0</v>
      </c>
      <c r="AI17" s="129">
        <f t="shared" ca="1" si="6"/>
        <v>0</v>
      </c>
      <c r="AJ17" s="129">
        <f t="shared" ca="1" si="6"/>
        <v>0</v>
      </c>
      <c r="AK17" s="129">
        <f t="shared" ca="1" si="6"/>
        <v>0</v>
      </c>
      <c r="AL17" s="129">
        <f t="shared" ca="1" si="6"/>
        <v>0</v>
      </c>
      <c r="AM17" s="129">
        <f t="shared" ca="1" si="6"/>
        <v>0</v>
      </c>
      <c r="AN17" s="129">
        <f t="shared" ca="1" si="6"/>
        <v>0</v>
      </c>
      <c r="AQ17"/>
      <c r="AS17" s="63"/>
      <c r="AX17" s="64">
        <v>40520.772152777776</v>
      </c>
      <c r="AY17" s="127">
        <v>641665</v>
      </c>
      <c r="AZ17" s="65">
        <v>40531.772152777776</v>
      </c>
      <c r="BA17" s="64">
        <v>0</v>
      </c>
      <c r="BB17" s="127">
        <v>0</v>
      </c>
      <c r="BC17" s="65">
        <v>0</v>
      </c>
    </row>
    <row r="18" spans="1:55" ht="15.75">
      <c r="A18" s="211"/>
      <c r="B18" s="157"/>
      <c r="C18" s="158"/>
      <c r="D18" s="159"/>
      <c r="E18" s="160"/>
      <c r="F18" s="161"/>
      <c r="G18" s="136">
        <f t="shared" ca="1" si="3"/>
        <v>0</v>
      </c>
      <c r="H18" s="129">
        <f t="shared" ca="1" si="4"/>
        <v>0</v>
      </c>
      <c r="I18" s="130"/>
      <c r="J18" s="129">
        <f t="shared" ca="1" si="5"/>
        <v>0</v>
      </c>
      <c r="K18" s="129">
        <f t="shared" ca="1" si="5"/>
        <v>0</v>
      </c>
      <c r="L18" s="129">
        <f t="shared" ca="1" si="5"/>
        <v>0</v>
      </c>
      <c r="M18" s="129">
        <f t="shared" ca="1" si="5"/>
        <v>0</v>
      </c>
      <c r="N18" s="129">
        <f t="shared" ca="1" si="5"/>
        <v>0</v>
      </c>
      <c r="O18" s="129">
        <f t="shared" ca="1" si="5"/>
        <v>0</v>
      </c>
      <c r="P18" s="129">
        <f t="shared" ca="1" si="5"/>
        <v>0</v>
      </c>
      <c r="Q18" s="129">
        <f t="shared" ca="1" si="5"/>
        <v>0</v>
      </c>
      <c r="R18" s="129">
        <f t="shared" ca="1" si="5"/>
        <v>0</v>
      </c>
      <c r="S18" s="129">
        <f t="shared" ca="1" si="5"/>
        <v>0</v>
      </c>
      <c r="T18" s="129">
        <f t="shared" ca="1" si="5"/>
        <v>0</v>
      </c>
      <c r="U18" s="129">
        <f t="shared" ca="1" si="5"/>
        <v>0</v>
      </c>
      <c r="V18" s="129">
        <f t="shared" ca="1" si="5"/>
        <v>0</v>
      </c>
      <c r="W18" s="129">
        <f t="shared" ca="1" si="5"/>
        <v>0</v>
      </c>
      <c r="X18" s="129">
        <f t="shared" ca="1" si="5"/>
        <v>0</v>
      </c>
      <c r="Y18" s="129">
        <f t="shared" ca="1" si="5"/>
        <v>0</v>
      </c>
      <c r="Z18" s="129">
        <f t="shared" ca="1" si="6"/>
        <v>0</v>
      </c>
      <c r="AA18" s="129">
        <f t="shared" ca="1" si="6"/>
        <v>0</v>
      </c>
      <c r="AB18" s="129">
        <f t="shared" ca="1" si="6"/>
        <v>0</v>
      </c>
      <c r="AC18" s="129">
        <f t="shared" ca="1" si="6"/>
        <v>0</v>
      </c>
      <c r="AD18" s="129">
        <f t="shared" ca="1" si="6"/>
        <v>0</v>
      </c>
      <c r="AE18" s="129">
        <f t="shared" ca="1" si="6"/>
        <v>0</v>
      </c>
      <c r="AF18" s="129">
        <f t="shared" ca="1" si="6"/>
        <v>0</v>
      </c>
      <c r="AG18" s="129">
        <f t="shared" ca="1" si="6"/>
        <v>0</v>
      </c>
      <c r="AH18" s="129">
        <f t="shared" ca="1" si="6"/>
        <v>0</v>
      </c>
      <c r="AI18" s="129">
        <f t="shared" ca="1" si="6"/>
        <v>0</v>
      </c>
      <c r="AJ18" s="129">
        <f t="shared" ca="1" si="6"/>
        <v>0</v>
      </c>
      <c r="AK18" s="129">
        <f t="shared" ca="1" si="6"/>
        <v>0</v>
      </c>
      <c r="AL18" s="129">
        <f t="shared" ca="1" si="6"/>
        <v>0</v>
      </c>
      <c r="AM18" s="129">
        <f t="shared" ca="1" si="6"/>
        <v>0</v>
      </c>
      <c r="AN18" s="129">
        <f t="shared" ca="1" si="6"/>
        <v>0</v>
      </c>
      <c r="AQ18"/>
      <c r="AS18" s="63"/>
      <c r="AX18" s="64">
        <v>40522.032749305552</v>
      </c>
      <c r="AY18" s="127">
        <v>24672</v>
      </c>
      <c r="AZ18" s="65">
        <v>40544.032749305552</v>
      </c>
      <c r="BA18" s="64">
        <v>0</v>
      </c>
      <c r="BB18" s="127">
        <v>0</v>
      </c>
      <c r="BC18" s="65">
        <v>0</v>
      </c>
    </row>
    <row r="19" spans="1:55" ht="15.75">
      <c r="A19" s="211"/>
      <c r="B19" s="157"/>
      <c r="C19" s="158"/>
      <c r="D19" s="159"/>
      <c r="E19" s="160"/>
      <c r="F19" s="161"/>
      <c r="G19" s="136">
        <f t="shared" ca="1" si="3"/>
        <v>0</v>
      </c>
      <c r="H19" s="129">
        <f t="shared" ca="1" si="4"/>
        <v>0</v>
      </c>
      <c r="I19" s="130"/>
      <c r="J19" s="129">
        <f t="shared" ca="1" si="5"/>
        <v>0</v>
      </c>
      <c r="K19" s="129">
        <f t="shared" ca="1" si="5"/>
        <v>0</v>
      </c>
      <c r="L19" s="129">
        <f t="shared" ca="1" si="5"/>
        <v>0</v>
      </c>
      <c r="M19" s="129">
        <f t="shared" ca="1" si="5"/>
        <v>0</v>
      </c>
      <c r="N19" s="129">
        <f t="shared" ca="1" si="5"/>
        <v>0</v>
      </c>
      <c r="O19" s="129">
        <f t="shared" ca="1" si="5"/>
        <v>0</v>
      </c>
      <c r="P19" s="129">
        <f t="shared" ca="1" si="5"/>
        <v>0</v>
      </c>
      <c r="Q19" s="129">
        <f t="shared" ca="1" si="5"/>
        <v>0</v>
      </c>
      <c r="R19" s="129">
        <f t="shared" ca="1" si="5"/>
        <v>0</v>
      </c>
      <c r="S19" s="129">
        <f t="shared" ca="1" si="5"/>
        <v>0</v>
      </c>
      <c r="T19" s="129">
        <f t="shared" ca="1" si="5"/>
        <v>0</v>
      </c>
      <c r="U19" s="129">
        <f t="shared" ca="1" si="5"/>
        <v>0</v>
      </c>
      <c r="V19" s="129">
        <f t="shared" ca="1" si="5"/>
        <v>0</v>
      </c>
      <c r="W19" s="129">
        <f t="shared" ca="1" si="5"/>
        <v>0</v>
      </c>
      <c r="X19" s="129">
        <f t="shared" ca="1" si="5"/>
        <v>0</v>
      </c>
      <c r="Y19" s="129">
        <f t="shared" ca="1" si="5"/>
        <v>0</v>
      </c>
      <c r="Z19" s="129">
        <f t="shared" ca="1" si="6"/>
        <v>0</v>
      </c>
      <c r="AA19" s="129">
        <f t="shared" ca="1" si="6"/>
        <v>0</v>
      </c>
      <c r="AB19" s="129">
        <f t="shared" ca="1" si="6"/>
        <v>0</v>
      </c>
      <c r="AC19" s="129">
        <f t="shared" ca="1" si="6"/>
        <v>0</v>
      </c>
      <c r="AD19" s="129">
        <f t="shared" ca="1" si="6"/>
        <v>0</v>
      </c>
      <c r="AE19" s="129">
        <f t="shared" ca="1" si="6"/>
        <v>0</v>
      </c>
      <c r="AF19" s="129">
        <f t="shared" ca="1" si="6"/>
        <v>0</v>
      </c>
      <c r="AG19" s="129">
        <f t="shared" ca="1" si="6"/>
        <v>0</v>
      </c>
      <c r="AH19" s="129">
        <f t="shared" ca="1" si="6"/>
        <v>0</v>
      </c>
      <c r="AI19" s="129">
        <f t="shared" ca="1" si="6"/>
        <v>0</v>
      </c>
      <c r="AJ19" s="129">
        <f t="shared" ca="1" si="6"/>
        <v>0</v>
      </c>
      <c r="AK19" s="129">
        <f t="shared" ca="1" si="6"/>
        <v>0</v>
      </c>
      <c r="AL19" s="129">
        <f t="shared" ca="1" si="6"/>
        <v>0</v>
      </c>
      <c r="AM19" s="129">
        <f t="shared" ca="1" si="6"/>
        <v>0</v>
      </c>
      <c r="AN19" s="129">
        <f t="shared" ca="1" si="6"/>
        <v>0</v>
      </c>
      <c r="AQ19"/>
      <c r="AS19" s="63"/>
      <c r="AX19" s="64">
        <v>40501.032749305552</v>
      </c>
      <c r="AY19" s="127">
        <v>43041.89</v>
      </c>
      <c r="AZ19" s="65">
        <v>40549.032749305552</v>
      </c>
      <c r="BA19" s="64">
        <v>0</v>
      </c>
      <c r="BB19" s="127">
        <v>0</v>
      </c>
      <c r="BC19" s="65">
        <v>0</v>
      </c>
    </row>
    <row r="20" spans="1:55" ht="15.75">
      <c r="A20" s="210"/>
      <c r="B20" s="157"/>
      <c r="C20" s="158"/>
      <c r="D20" s="159"/>
      <c r="E20" s="160"/>
      <c r="F20" s="161"/>
      <c r="G20" s="136">
        <f t="shared" ca="1" si="3"/>
        <v>0</v>
      </c>
      <c r="H20" s="129">
        <f t="shared" ca="1" si="4"/>
        <v>0</v>
      </c>
      <c r="I20" s="130"/>
      <c r="J20" s="129">
        <f t="shared" ca="1" si="5"/>
        <v>0</v>
      </c>
      <c r="K20" s="129">
        <f t="shared" ca="1" si="5"/>
        <v>0</v>
      </c>
      <c r="L20" s="129">
        <f t="shared" ca="1" si="5"/>
        <v>0</v>
      </c>
      <c r="M20" s="129">
        <f t="shared" ca="1" si="5"/>
        <v>0</v>
      </c>
      <c r="N20" s="129">
        <f t="shared" ca="1" si="5"/>
        <v>0</v>
      </c>
      <c r="O20" s="129">
        <f t="shared" ca="1" si="5"/>
        <v>0</v>
      </c>
      <c r="P20" s="129">
        <f t="shared" ca="1" si="5"/>
        <v>0</v>
      </c>
      <c r="Q20" s="129">
        <f t="shared" ca="1" si="5"/>
        <v>0</v>
      </c>
      <c r="R20" s="129">
        <f t="shared" ca="1" si="5"/>
        <v>0</v>
      </c>
      <c r="S20" s="129">
        <f t="shared" ca="1" si="5"/>
        <v>0</v>
      </c>
      <c r="T20" s="129">
        <f t="shared" ca="1" si="5"/>
        <v>0</v>
      </c>
      <c r="U20" s="129">
        <f t="shared" ca="1" si="5"/>
        <v>0</v>
      </c>
      <c r="V20" s="129">
        <f t="shared" ca="1" si="5"/>
        <v>0</v>
      </c>
      <c r="W20" s="129">
        <f t="shared" ca="1" si="5"/>
        <v>0</v>
      </c>
      <c r="X20" s="129">
        <f t="shared" ca="1" si="5"/>
        <v>0</v>
      </c>
      <c r="Y20" s="129">
        <f t="shared" ca="1" si="5"/>
        <v>0</v>
      </c>
      <c r="Z20" s="129">
        <f t="shared" ca="1" si="6"/>
        <v>0</v>
      </c>
      <c r="AA20" s="129">
        <f t="shared" ca="1" si="6"/>
        <v>0</v>
      </c>
      <c r="AB20" s="129">
        <f t="shared" ca="1" si="6"/>
        <v>0</v>
      </c>
      <c r="AC20" s="129">
        <f t="shared" ca="1" si="6"/>
        <v>0</v>
      </c>
      <c r="AD20" s="129">
        <f t="shared" ca="1" si="6"/>
        <v>0</v>
      </c>
      <c r="AE20" s="129">
        <f t="shared" ca="1" si="6"/>
        <v>0</v>
      </c>
      <c r="AF20" s="129">
        <f t="shared" ca="1" si="6"/>
        <v>0</v>
      </c>
      <c r="AG20" s="129">
        <f t="shared" ca="1" si="6"/>
        <v>0</v>
      </c>
      <c r="AH20" s="129">
        <f t="shared" ca="1" si="6"/>
        <v>0</v>
      </c>
      <c r="AI20" s="129">
        <f t="shared" ca="1" si="6"/>
        <v>0</v>
      </c>
      <c r="AJ20" s="129">
        <f t="shared" ca="1" si="6"/>
        <v>0</v>
      </c>
      <c r="AK20" s="129">
        <f t="shared" ca="1" si="6"/>
        <v>0</v>
      </c>
      <c r="AL20" s="129">
        <f t="shared" ca="1" si="6"/>
        <v>0</v>
      </c>
      <c r="AM20" s="129">
        <f t="shared" ca="1" si="6"/>
        <v>0</v>
      </c>
      <c r="AN20" s="129">
        <f t="shared" ca="1" si="6"/>
        <v>0</v>
      </c>
      <c r="AQ20"/>
      <c r="AS20" s="63"/>
      <c r="AX20" s="64">
        <v>40550.032749305552</v>
      </c>
      <c r="AY20" s="127">
        <v>95651.12</v>
      </c>
      <c r="AZ20" s="65">
        <v>40576.032749305552</v>
      </c>
      <c r="BA20" s="64">
        <v>0</v>
      </c>
      <c r="BB20" s="127">
        <v>0</v>
      </c>
      <c r="BC20" s="65">
        <v>0</v>
      </c>
    </row>
    <row r="21" spans="1:55" ht="15.75">
      <c r="A21" s="211"/>
      <c r="B21" s="157"/>
      <c r="C21" s="158"/>
      <c r="D21" s="159"/>
      <c r="E21" s="160"/>
      <c r="F21" s="161"/>
      <c r="G21" s="136">
        <f t="shared" ca="1" si="3"/>
        <v>0</v>
      </c>
      <c r="H21" s="129">
        <f t="shared" ca="1" si="4"/>
        <v>0</v>
      </c>
      <c r="I21" s="130"/>
      <c r="J21" s="129">
        <f t="shared" ca="1" si="5"/>
        <v>0</v>
      </c>
      <c r="K21" s="129">
        <f t="shared" ca="1" si="5"/>
        <v>0</v>
      </c>
      <c r="L21" s="129">
        <f t="shared" ca="1" si="5"/>
        <v>0</v>
      </c>
      <c r="M21" s="129">
        <f t="shared" ca="1" si="5"/>
        <v>0</v>
      </c>
      <c r="N21" s="129">
        <f t="shared" ca="1" si="5"/>
        <v>0</v>
      </c>
      <c r="O21" s="129">
        <f t="shared" ca="1" si="5"/>
        <v>0</v>
      </c>
      <c r="P21" s="129">
        <f t="shared" ca="1" si="5"/>
        <v>0</v>
      </c>
      <c r="Q21" s="129">
        <f t="shared" ca="1" si="5"/>
        <v>0</v>
      </c>
      <c r="R21" s="129">
        <f t="shared" ca="1" si="5"/>
        <v>0</v>
      </c>
      <c r="S21" s="129">
        <f t="shared" ca="1" si="5"/>
        <v>0</v>
      </c>
      <c r="T21" s="129">
        <f t="shared" ca="1" si="5"/>
        <v>0</v>
      </c>
      <c r="U21" s="129">
        <f t="shared" ca="1" si="5"/>
        <v>0</v>
      </c>
      <c r="V21" s="129">
        <f t="shared" ca="1" si="5"/>
        <v>0</v>
      </c>
      <c r="W21" s="129">
        <f t="shared" ca="1" si="5"/>
        <v>0</v>
      </c>
      <c r="X21" s="129">
        <f t="shared" ca="1" si="5"/>
        <v>0</v>
      </c>
      <c r="Y21" s="129">
        <f t="shared" ca="1" si="5"/>
        <v>0</v>
      </c>
      <c r="Z21" s="129">
        <f t="shared" ca="1" si="6"/>
        <v>0</v>
      </c>
      <c r="AA21" s="129">
        <f t="shared" ca="1" si="6"/>
        <v>0</v>
      </c>
      <c r="AB21" s="129">
        <f t="shared" ca="1" si="6"/>
        <v>0</v>
      </c>
      <c r="AC21" s="129">
        <f t="shared" ca="1" si="6"/>
        <v>0</v>
      </c>
      <c r="AD21" s="129">
        <f t="shared" ca="1" si="6"/>
        <v>0</v>
      </c>
      <c r="AE21" s="129">
        <f t="shared" ca="1" si="6"/>
        <v>0</v>
      </c>
      <c r="AF21" s="129">
        <f t="shared" ca="1" si="6"/>
        <v>0</v>
      </c>
      <c r="AG21" s="129">
        <f t="shared" ca="1" si="6"/>
        <v>0</v>
      </c>
      <c r="AH21" s="129">
        <f t="shared" ca="1" si="6"/>
        <v>0</v>
      </c>
      <c r="AI21" s="129">
        <f t="shared" ca="1" si="6"/>
        <v>0</v>
      </c>
      <c r="AJ21" s="129">
        <f t="shared" ca="1" si="6"/>
        <v>0</v>
      </c>
      <c r="AK21" s="129">
        <f t="shared" ca="1" si="6"/>
        <v>0</v>
      </c>
      <c r="AL21" s="129">
        <f t="shared" ca="1" si="6"/>
        <v>0</v>
      </c>
      <c r="AM21" s="129">
        <f t="shared" ca="1" si="6"/>
        <v>0</v>
      </c>
      <c r="AN21" s="129">
        <f t="shared" ca="1" si="6"/>
        <v>0</v>
      </c>
      <c r="AQ21"/>
      <c r="AS21" s="63"/>
      <c r="AX21" s="64">
        <v>40497.032749305552</v>
      </c>
      <c r="AY21" s="127">
        <v>82566.84</v>
      </c>
      <c r="AZ21" s="65">
        <v>40552.032749305552</v>
      </c>
      <c r="BA21" s="64">
        <v>0</v>
      </c>
      <c r="BB21" s="127">
        <v>0</v>
      </c>
      <c r="BC21" s="65">
        <v>0</v>
      </c>
    </row>
    <row r="22" spans="1:55" ht="15.75">
      <c r="A22" s="211"/>
      <c r="B22" s="157"/>
      <c r="C22" s="158"/>
      <c r="D22" s="159"/>
      <c r="E22" s="160"/>
      <c r="F22" s="161"/>
      <c r="G22" s="136">
        <f t="shared" ca="1" si="3"/>
        <v>0</v>
      </c>
      <c r="H22" s="129">
        <f t="shared" ca="1" si="4"/>
        <v>0</v>
      </c>
      <c r="I22" s="130"/>
      <c r="J22" s="129">
        <f t="shared" ca="1" si="5"/>
        <v>0</v>
      </c>
      <c r="K22" s="129">
        <f t="shared" ca="1" si="5"/>
        <v>0</v>
      </c>
      <c r="L22" s="129">
        <f t="shared" ca="1" si="5"/>
        <v>0</v>
      </c>
      <c r="M22" s="129">
        <f t="shared" ca="1" si="5"/>
        <v>0</v>
      </c>
      <c r="N22" s="129">
        <f t="shared" ca="1" si="5"/>
        <v>0</v>
      </c>
      <c r="O22" s="129">
        <f t="shared" ca="1" si="5"/>
        <v>0</v>
      </c>
      <c r="P22" s="129">
        <f t="shared" ca="1" si="5"/>
        <v>0</v>
      </c>
      <c r="Q22" s="129">
        <f t="shared" ca="1" si="5"/>
        <v>0</v>
      </c>
      <c r="R22" s="129">
        <f t="shared" ca="1" si="5"/>
        <v>0</v>
      </c>
      <c r="S22" s="129">
        <f t="shared" ca="1" si="5"/>
        <v>0</v>
      </c>
      <c r="T22" s="129">
        <f t="shared" ca="1" si="5"/>
        <v>0</v>
      </c>
      <c r="U22" s="129">
        <f t="shared" ca="1" si="5"/>
        <v>0</v>
      </c>
      <c r="V22" s="129">
        <f t="shared" ca="1" si="5"/>
        <v>0</v>
      </c>
      <c r="W22" s="129">
        <f t="shared" ca="1" si="5"/>
        <v>0</v>
      </c>
      <c r="X22" s="129">
        <f t="shared" ca="1" si="5"/>
        <v>0</v>
      </c>
      <c r="Y22" s="129">
        <f t="shared" ca="1" si="5"/>
        <v>0</v>
      </c>
      <c r="Z22" s="129">
        <f t="shared" ca="1" si="6"/>
        <v>0</v>
      </c>
      <c r="AA22" s="129">
        <f t="shared" ca="1" si="6"/>
        <v>0</v>
      </c>
      <c r="AB22" s="129">
        <f t="shared" ca="1" si="6"/>
        <v>0</v>
      </c>
      <c r="AC22" s="129">
        <f t="shared" ca="1" si="6"/>
        <v>0</v>
      </c>
      <c r="AD22" s="129">
        <f t="shared" ca="1" si="6"/>
        <v>0</v>
      </c>
      <c r="AE22" s="129">
        <f t="shared" ca="1" si="6"/>
        <v>0</v>
      </c>
      <c r="AF22" s="129">
        <f t="shared" ca="1" si="6"/>
        <v>0</v>
      </c>
      <c r="AG22" s="129">
        <f t="shared" ca="1" si="6"/>
        <v>0</v>
      </c>
      <c r="AH22" s="129">
        <f t="shared" ca="1" si="6"/>
        <v>0</v>
      </c>
      <c r="AI22" s="129">
        <f t="shared" ca="1" si="6"/>
        <v>0</v>
      </c>
      <c r="AJ22" s="129">
        <f t="shared" ca="1" si="6"/>
        <v>0</v>
      </c>
      <c r="AK22" s="129">
        <f t="shared" ca="1" si="6"/>
        <v>0</v>
      </c>
      <c r="AL22" s="129">
        <f t="shared" ca="1" si="6"/>
        <v>0</v>
      </c>
      <c r="AM22" s="129">
        <f t="shared" ca="1" si="6"/>
        <v>0</v>
      </c>
      <c r="AN22" s="129">
        <f t="shared" ca="1" si="6"/>
        <v>0</v>
      </c>
      <c r="AQ22"/>
      <c r="AS22" s="63"/>
      <c r="AX22" s="64">
        <v>40502.032749305552</v>
      </c>
      <c r="AY22" s="127">
        <v>4559.96</v>
      </c>
      <c r="AZ22" s="65">
        <v>40532.032749305552</v>
      </c>
      <c r="BA22" s="64">
        <v>0</v>
      </c>
      <c r="BB22" s="127">
        <v>0</v>
      </c>
      <c r="BC22" s="65">
        <v>0</v>
      </c>
    </row>
    <row r="23" spans="1:55" ht="15.75">
      <c r="A23" s="211"/>
      <c r="B23" s="157"/>
      <c r="C23" s="158"/>
      <c r="D23" s="159"/>
      <c r="E23" s="160"/>
      <c r="F23" s="161"/>
      <c r="G23" s="136">
        <f t="shared" ca="1" si="3"/>
        <v>0</v>
      </c>
      <c r="H23" s="129">
        <f t="shared" ca="1" si="4"/>
        <v>0</v>
      </c>
      <c r="I23" s="130"/>
      <c r="J23" s="129">
        <f t="shared" ca="1" si="5"/>
        <v>0</v>
      </c>
      <c r="K23" s="129">
        <f t="shared" ca="1" si="5"/>
        <v>0</v>
      </c>
      <c r="L23" s="129">
        <f t="shared" ca="1" si="5"/>
        <v>0</v>
      </c>
      <c r="M23" s="129">
        <f t="shared" ca="1" si="5"/>
        <v>0</v>
      </c>
      <c r="N23" s="129">
        <f t="shared" ca="1" si="5"/>
        <v>0</v>
      </c>
      <c r="O23" s="129">
        <f t="shared" ca="1" si="5"/>
        <v>0</v>
      </c>
      <c r="P23" s="129">
        <f t="shared" ca="1" si="5"/>
        <v>0</v>
      </c>
      <c r="Q23" s="129">
        <f t="shared" ca="1" si="5"/>
        <v>0</v>
      </c>
      <c r="R23" s="129">
        <f t="shared" ca="1" si="5"/>
        <v>0</v>
      </c>
      <c r="S23" s="129">
        <f t="shared" ca="1" si="5"/>
        <v>0</v>
      </c>
      <c r="T23" s="129">
        <f t="shared" ca="1" si="5"/>
        <v>0</v>
      </c>
      <c r="U23" s="129">
        <f t="shared" ca="1" si="5"/>
        <v>0</v>
      </c>
      <c r="V23" s="129">
        <f t="shared" ca="1" si="5"/>
        <v>0</v>
      </c>
      <c r="W23" s="129">
        <f t="shared" ca="1" si="5"/>
        <v>0</v>
      </c>
      <c r="X23" s="129">
        <f t="shared" ca="1" si="5"/>
        <v>0</v>
      </c>
      <c r="Y23" s="129">
        <f t="shared" ca="1" si="5"/>
        <v>0</v>
      </c>
      <c r="Z23" s="129">
        <f t="shared" ca="1" si="6"/>
        <v>0</v>
      </c>
      <c r="AA23" s="129">
        <f t="shared" ca="1" si="6"/>
        <v>0</v>
      </c>
      <c r="AB23" s="129">
        <f t="shared" ca="1" si="6"/>
        <v>0</v>
      </c>
      <c r="AC23" s="129">
        <f t="shared" ca="1" si="6"/>
        <v>0</v>
      </c>
      <c r="AD23" s="129">
        <f t="shared" ca="1" si="6"/>
        <v>0</v>
      </c>
      <c r="AE23" s="129">
        <f t="shared" ca="1" si="6"/>
        <v>0</v>
      </c>
      <c r="AF23" s="129">
        <f t="shared" ca="1" si="6"/>
        <v>0</v>
      </c>
      <c r="AG23" s="129">
        <f t="shared" ca="1" si="6"/>
        <v>0</v>
      </c>
      <c r="AH23" s="129">
        <f t="shared" ca="1" si="6"/>
        <v>0</v>
      </c>
      <c r="AI23" s="129">
        <f t="shared" ca="1" si="6"/>
        <v>0</v>
      </c>
      <c r="AJ23" s="129">
        <f t="shared" ca="1" si="6"/>
        <v>0</v>
      </c>
      <c r="AK23" s="129">
        <f t="shared" ca="1" si="6"/>
        <v>0</v>
      </c>
      <c r="AL23" s="129">
        <f t="shared" ca="1" si="6"/>
        <v>0</v>
      </c>
      <c r="AM23" s="129">
        <f t="shared" ca="1" si="6"/>
        <v>0</v>
      </c>
      <c r="AN23" s="129">
        <f t="shared" ca="1" si="6"/>
        <v>0</v>
      </c>
      <c r="AQ23"/>
      <c r="AS23" s="63"/>
      <c r="AX23" s="64">
        <v>40556.032749305552</v>
      </c>
      <c r="AY23" s="127">
        <v>3300</v>
      </c>
      <c r="AZ23" s="65">
        <v>40561.032749305552</v>
      </c>
      <c r="BA23" s="64">
        <v>0</v>
      </c>
      <c r="BB23" s="127">
        <v>0</v>
      </c>
      <c r="BC23" s="65">
        <v>0</v>
      </c>
    </row>
    <row r="24" spans="1:55" ht="15.75">
      <c r="A24" s="211"/>
      <c r="B24" s="157"/>
      <c r="C24" s="158"/>
      <c r="D24" s="159"/>
      <c r="E24" s="160"/>
      <c r="F24" s="161"/>
      <c r="G24" s="136">
        <f t="shared" ca="1" si="3"/>
        <v>0</v>
      </c>
      <c r="H24" s="129">
        <f t="shared" ca="1" si="4"/>
        <v>0</v>
      </c>
      <c r="I24" s="130"/>
      <c r="J24" s="129">
        <f t="shared" ca="1" si="5"/>
        <v>0</v>
      </c>
      <c r="K24" s="129">
        <f t="shared" ca="1" si="5"/>
        <v>0</v>
      </c>
      <c r="L24" s="129">
        <f t="shared" ca="1" si="5"/>
        <v>0</v>
      </c>
      <c r="M24" s="129">
        <f t="shared" ca="1" si="5"/>
        <v>0</v>
      </c>
      <c r="N24" s="129">
        <f t="shared" ca="1" si="5"/>
        <v>0</v>
      </c>
      <c r="O24" s="129">
        <f t="shared" ca="1" si="5"/>
        <v>0</v>
      </c>
      <c r="P24" s="129">
        <f t="shared" ca="1" si="5"/>
        <v>0</v>
      </c>
      <c r="Q24" s="129">
        <f t="shared" ca="1" si="5"/>
        <v>0</v>
      </c>
      <c r="R24" s="129">
        <f t="shared" ca="1" si="5"/>
        <v>0</v>
      </c>
      <c r="S24" s="129">
        <f t="shared" ca="1" si="5"/>
        <v>0</v>
      </c>
      <c r="T24" s="129">
        <f t="shared" ca="1" si="5"/>
        <v>0</v>
      </c>
      <c r="U24" s="129">
        <f t="shared" ca="1" si="5"/>
        <v>0</v>
      </c>
      <c r="V24" s="129">
        <f t="shared" ca="1" si="5"/>
        <v>0</v>
      </c>
      <c r="W24" s="129">
        <f t="shared" ca="1" si="5"/>
        <v>0</v>
      </c>
      <c r="X24" s="129">
        <f t="shared" ca="1" si="5"/>
        <v>0</v>
      </c>
      <c r="Y24" s="129">
        <f t="shared" ca="1" si="5"/>
        <v>0</v>
      </c>
      <c r="Z24" s="129">
        <f t="shared" ca="1" si="6"/>
        <v>0</v>
      </c>
      <c r="AA24" s="129">
        <f t="shared" ca="1" si="6"/>
        <v>0</v>
      </c>
      <c r="AB24" s="129">
        <f t="shared" ca="1" si="6"/>
        <v>0</v>
      </c>
      <c r="AC24" s="129">
        <f t="shared" ca="1" si="6"/>
        <v>0</v>
      </c>
      <c r="AD24" s="129">
        <f t="shared" ca="1" si="6"/>
        <v>0</v>
      </c>
      <c r="AE24" s="129">
        <f t="shared" ca="1" si="6"/>
        <v>0</v>
      </c>
      <c r="AF24" s="129">
        <f t="shared" ca="1" si="6"/>
        <v>0</v>
      </c>
      <c r="AG24" s="129">
        <f t="shared" ca="1" si="6"/>
        <v>0</v>
      </c>
      <c r="AH24" s="129">
        <f t="shared" ca="1" si="6"/>
        <v>0</v>
      </c>
      <c r="AI24" s="129">
        <f t="shared" ca="1" si="6"/>
        <v>0</v>
      </c>
      <c r="AJ24" s="129">
        <f t="shared" ca="1" si="6"/>
        <v>0</v>
      </c>
      <c r="AK24" s="129">
        <f t="shared" ca="1" si="6"/>
        <v>0</v>
      </c>
      <c r="AL24" s="129">
        <f t="shared" ca="1" si="6"/>
        <v>0</v>
      </c>
      <c r="AM24" s="129">
        <f t="shared" ca="1" si="6"/>
        <v>0</v>
      </c>
      <c r="AN24" s="129">
        <f t="shared" ca="1" si="6"/>
        <v>0</v>
      </c>
      <c r="AQ24"/>
      <c r="AS24" s="63"/>
      <c r="AX24" s="64">
        <v>40524.032749305552</v>
      </c>
      <c r="AY24" s="127">
        <v>3960</v>
      </c>
      <c r="AZ24" s="65">
        <v>40538.032749305552</v>
      </c>
      <c r="BA24" s="64">
        <v>0</v>
      </c>
      <c r="BB24" s="127">
        <v>0</v>
      </c>
      <c r="BC24" s="65">
        <v>0</v>
      </c>
    </row>
    <row r="25" spans="1:55" ht="15.75">
      <c r="A25" s="211"/>
      <c r="B25" s="157"/>
      <c r="C25" s="158"/>
      <c r="D25" s="159"/>
      <c r="E25" s="160"/>
      <c r="F25" s="161"/>
      <c r="G25" s="136">
        <f t="shared" ca="1" si="3"/>
        <v>0</v>
      </c>
      <c r="H25" s="129">
        <f t="shared" ca="1" si="4"/>
        <v>0</v>
      </c>
      <c r="I25" s="130"/>
      <c r="J25" s="129">
        <f t="shared" ca="1" si="5"/>
        <v>0</v>
      </c>
      <c r="K25" s="129">
        <f t="shared" ca="1" si="5"/>
        <v>0</v>
      </c>
      <c r="L25" s="129">
        <f t="shared" ca="1" si="5"/>
        <v>0</v>
      </c>
      <c r="M25" s="129">
        <f t="shared" ca="1" si="5"/>
        <v>0</v>
      </c>
      <c r="N25" s="129">
        <f t="shared" ca="1" si="5"/>
        <v>0</v>
      </c>
      <c r="O25" s="129">
        <f t="shared" ca="1" si="5"/>
        <v>0</v>
      </c>
      <c r="P25" s="129">
        <f t="shared" ca="1" si="5"/>
        <v>0</v>
      </c>
      <c r="Q25" s="129">
        <f t="shared" ca="1" si="5"/>
        <v>0</v>
      </c>
      <c r="R25" s="129">
        <f t="shared" ca="1" si="5"/>
        <v>0</v>
      </c>
      <c r="S25" s="129">
        <f t="shared" ca="1" si="5"/>
        <v>0</v>
      </c>
      <c r="T25" s="129">
        <f t="shared" ca="1" si="5"/>
        <v>0</v>
      </c>
      <c r="U25" s="129">
        <f t="shared" ca="1" si="5"/>
        <v>0</v>
      </c>
      <c r="V25" s="129">
        <f t="shared" ca="1" si="5"/>
        <v>0</v>
      </c>
      <c r="W25" s="129">
        <f t="shared" ca="1" si="5"/>
        <v>0</v>
      </c>
      <c r="X25" s="129">
        <f t="shared" ca="1" si="5"/>
        <v>0</v>
      </c>
      <c r="Y25" s="129">
        <f t="shared" ca="1" si="5"/>
        <v>0</v>
      </c>
      <c r="Z25" s="129">
        <f t="shared" ca="1" si="6"/>
        <v>0</v>
      </c>
      <c r="AA25" s="129">
        <f t="shared" ca="1" si="6"/>
        <v>0</v>
      </c>
      <c r="AB25" s="129">
        <f t="shared" ca="1" si="6"/>
        <v>0</v>
      </c>
      <c r="AC25" s="129">
        <f t="shared" ca="1" si="6"/>
        <v>0</v>
      </c>
      <c r="AD25" s="129">
        <f t="shared" ca="1" si="6"/>
        <v>0</v>
      </c>
      <c r="AE25" s="129">
        <f t="shared" ca="1" si="6"/>
        <v>0</v>
      </c>
      <c r="AF25" s="129">
        <f t="shared" ca="1" si="6"/>
        <v>0</v>
      </c>
      <c r="AG25" s="129">
        <f t="shared" ca="1" si="6"/>
        <v>0</v>
      </c>
      <c r="AH25" s="129">
        <f t="shared" ca="1" si="6"/>
        <v>0</v>
      </c>
      <c r="AI25" s="129">
        <f t="shared" ca="1" si="6"/>
        <v>0</v>
      </c>
      <c r="AJ25" s="129">
        <f t="shared" ca="1" si="6"/>
        <v>0</v>
      </c>
      <c r="AK25" s="129">
        <f t="shared" ca="1" si="6"/>
        <v>0</v>
      </c>
      <c r="AL25" s="129">
        <f t="shared" ca="1" si="6"/>
        <v>0</v>
      </c>
      <c r="AM25" s="129">
        <f t="shared" ca="1" si="6"/>
        <v>0</v>
      </c>
      <c r="AN25" s="129">
        <f t="shared" ca="1" si="6"/>
        <v>0</v>
      </c>
      <c r="AQ25"/>
      <c r="AS25" s="63"/>
      <c r="AX25" s="64">
        <v>40501.032749305552</v>
      </c>
      <c r="AY25" s="127">
        <v>263080</v>
      </c>
      <c r="AZ25" s="65">
        <v>40528.032749305552</v>
      </c>
      <c r="BA25" s="64">
        <v>0</v>
      </c>
      <c r="BB25" s="127">
        <v>0</v>
      </c>
      <c r="BC25" s="65">
        <v>0</v>
      </c>
    </row>
    <row r="26" spans="1:55" ht="15.75">
      <c r="A26" s="211"/>
      <c r="B26" s="157"/>
      <c r="C26" s="158"/>
      <c r="D26" s="159"/>
      <c r="E26" s="160"/>
      <c r="F26" s="161"/>
      <c r="G26" s="136">
        <f t="shared" ca="1" si="3"/>
        <v>0</v>
      </c>
      <c r="H26" s="129">
        <f t="shared" ca="1" si="4"/>
        <v>0</v>
      </c>
      <c r="I26" s="130"/>
      <c r="J26" s="129">
        <f t="shared" ca="1" si="5"/>
        <v>0</v>
      </c>
      <c r="K26" s="129">
        <f t="shared" ca="1" si="5"/>
        <v>0</v>
      </c>
      <c r="L26" s="129">
        <f t="shared" ca="1" si="5"/>
        <v>0</v>
      </c>
      <c r="M26" s="129">
        <f t="shared" ca="1" si="5"/>
        <v>0</v>
      </c>
      <c r="N26" s="129">
        <f t="shared" ca="1" si="5"/>
        <v>0</v>
      </c>
      <c r="O26" s="129">
        <f t="shared" ca="1" si="5"/>
        <v>0</v>
      </c>
      <c r="P26" s="129">
        <f t="shared" ca="1" si="5"/>
        <v>0</v>
      </c>
      <c r="Q26" s="129">
        <f t="shared" ca="1" si="5"/>
        <v>0</v>
      </c>
      <c r="R26" s="129">
        <f t="shared" ca="1" si="5"/>
        <v>0</v>
      </c>
      <c r="S26" s="129">
        <f t="shared" ca="1" si="5"/>
        <v>0</v>
      </c>
      <c r="T26" s="129">
        <f t="shared" ca="1" si="5"/>
        <v>0</v>
      </c>
      <c r="U26" s="129">
        <f t="shared" ca="1" si="5"/>
        <v>0</v>
      </c>
      <c r="V26" s="129">
        <f t="shared" ca="1" si="5"/>
        <v>0</v>
      </c>
      <c r="W26" s="129">
        <f t="shared" ca="1" si="5"/>
        <v>0</v>
      </c>
      <c r="X26" s="129">
        <f t="shared" ca="1" si="5"/>
        <v>0</v>
      </c>
      <c r="Y26" s="129">
        <f t="shared" ca="1" si="5"/>
        <v>0</v>
      </c>
      <c r="Z26" s="129">
        <f t="shared" ca="1" si="6"/>
        <v>0</v>
      </c>
      <c r="AA26" s="129">
        <f t="shared" ca="1" si="6"/>
        <v>0</v>
      </c>
      <c r="AB26" s="129">
        <f t="shared" ca="1" si="6"/>
        <v>0</v>
      </c>
      <c r="AC26" s="129">
        <f t="shared" ca="1" si="6"/>
        <v>0</v>
      </c>
      <c r="AD26" s="129">
        <f t="shared" ca="1" si="6"/>
        <v>0</v>
      </c>
      <c r="AE26" s="129">
        <f t="shared" ca="1" si="6"/>
        <v>0</v>
      </c>
      <c r="AF26" s="129">
        <f t="shared" ca="1" si="6"/>
        <v>0</v>
      </c>
      <c r="AG26" s="129">
        <f t="shared" ca="1" si="6"/>
        <v>0</v>
      </c>
      <c r="AH26" s="129">
        <f t="shared" ca="1" si="6"/>
        <v>0</v>
      </c>
      <c r="AI26" s="129">
        <f t="shared" ca="1" si="6"/>
        <v>0</v>
      </c>
      <c r="AJ26" s="129">
        <f t="shared" ca="1" si="6"/>
        <v>0</v>
      </c>
      <c r="AK26" s="129">
        <f t="shared" ca="1" si="6"/>
        <v>0</v>
      </c>
      <c r="AL26" s="129">
        <f t="shared" ca="1" si="6"/>
        <v>0</v>
      </c>
      <c r="AM26" s="129">
        <f t="shared" ca="1" si="6"/>
        <v>0</v>
      </c>
      <c r="AN26" s="129">
        <f t="shared" ca="1" si="6"/>
        <v>0</v>
      </c>
      <c r="AQ26"/>
      <c r="AS26" s="63"/>
      <c r="AX26" s="64">
        <v>40517.032749305552</v>
      </c>
      <c r="AY26" s="127">
        <v>35314</v>
      </c>
      <c r="AZ26" s="65">
        <v>40559.032749305552</v>
      </c>
      <c r="BA26" s="64">
        <v>0</v>
      </c>
      <c r="BB26" s="127">
        <v>0</v>
      </c>
      <c r="BC26" s="65">
        <v>0</v>
      </c>
    </row>
    <row r="27" spans="1:55" ht="15.75">
      <c r="A27" s="211"/>
      <c r="B27" s="157"/>
      <c r="C27" s="158"/>
      <c r="D27" s="159"/>
      <c r="E27" s="160"/>
      <c r="F27" s="161"/>
      <c r="G27" s="136">
        <f t="shared" ca="1" si="3"/>
        <v>0</v>
      </c>
      <c r="H27" s="129">
        <f t="shared" ca="1" si="4"/>
        <v>0</v>
      </c>
      <c r="I27" s="130"/>
      <c r="J27" s="129">
        <f t="shared" ca="1" si="5"/>
        <v>0</v>
      </c>
      <c r="K27" s="129">
        <f t="shared" ca="1" si="5"/>
        <v>0</v>
      </c>
      <c r="L27" s="129">
        <f t="shared" ca="1" si="5"/>
        <v>0</v>
      </c>
      <c r="M27" s="129">
        <f t="shared" ca="1" si="5"/>
        <v>0</v>
      </c>
      <c r="N27" s="129">
        <f t="shared" ca="1" si="5"/>
        <v>0</v>
      </c>
      <c r="O27" s="129">
        <f t="shared" ca="1" si="5"/>
        <v>0</v>
      </c>
      <c r="P27" s="129">
        <f t="shared" ca="1" si="5"/>
        <v>0</v>
      </c>
      <c r="Q27" s="129">
        <f t="shared" ca="1" si="5"/>
        <v>0</v>
      </c>
      <c r="R27" s="129">
        <f t="shared" ca="1" si="5"/>
        <v>0</v>
      </c>
      <c r="S27" s="129">
        <f t="shared" ca="1" si="5"/>
        <v>0</v>
      </c>
      <c r="T27" s="129">
        <f t="shared" ca="1" si="5"/>
        <v>0</v>
      </c>
      <c r="U27" s="129">
        <f t="shared" ca="1" si="5"/>
        <v>0</v>
      </c>
      <c r="V27" s="129">
        <f t="shared" ca="1" si="5"/>
        <v>0</v>
      </c>
      <c r="W27" s="129">
        <f t="shared" ca="1" si="5"/>
        <v>0</v>
      </c>
      <c r="X27" s="129">
        <f t="shared" ca="1" si="5"/>
        <v>0</v>
      </c>
      <c r="Y27" s="129">
        <f t="shared" ref="T27:AI39" ca="1" si="7">IF(ABS($E27-Y$11)&lt;0.5,$D27,0)</f>
        <v>0</v>
      </c>
      <c r="Z27" s="129">
        <f t="shared" ca="1" si="7"/>
        <v>0</v>
      </c>
      <c r="AA27" s="129">
        <f t="shared" ca="1" si="7"/>
        <v>0</v>
      </c>
      <c r="AB27" s="129">
        <f t="shared" ca="1" si="7"/>
        <v>0</v>
      </c>
      <c r="AC27" s="129">
        <f t="shared" ca="1" si="7"/>
        <v>0</v>
      </c>
      <c r="AD27" s="129">
        <f t="shared" ca="1" si="6"/>
        <v>0</v>
      </c>
      <c r="AE27" s="129">
        <f t="shared" ca="1" si="6"/>
        <v>0</v>
      </c>
      <c r="AF27" s="129">
        <f t="shared" ca="1" si="6"/>
        <v>0</v>
      </c>
      <c r="AG27" s="129">
        <f t="shared" ca="1" si="6"/>
        <v>0</v>
      </c>
      <c r="AH27" s="129">
        <f t="shared" ca="1" si="6"/>
        <v>0</v>
      </c>
      <c r="AI27" s="129">
        <f t="shared" ca="1" si="6"/>
        <v>0</v>
      </c>
      <c r="AJ27" s="129">
        <f t="shared" ca="1" si="6"/>
        <v>0</v>
      </c>
      <c r="AK27" s="129">
        <f t="shared" ca="1" si="6"/>
        <v>0</v>
      </c>
      <c r="AL27" s="129">
        <f t="shared" ca="1" si="6"/>
        <v>0</v>
      </c>
      <c r="AM27" s="129">
        <f t="shared" ca="1" si="6"/>
        <v>0</v>
      </c>
      <c r="AN27" s="129">
        <f t="shared" ca="1" si="6"/>
        <v>0</v>
      </c>
      <c r="AQ27"/>
      <c r="AS27" s="63"/>
      <c r="AX27" s="64">
        <v>40524.032749305552</v>
      </c>
      <c r="AY27" s="127">
        <v>351066.5</v>
      </c>
      <c r="AZ27" s="65">
        <v>40571.032749305552</v>
      </c>
      <c r="BA27" s="64">
        <v>0</v>
      </c>
      <c r="BB27" s="127">
        <v>0</v>
      </c>
      <c r="BC27" s="65">
        <v>0</v>
      </c>
    </row>
    <row r="28" spans="1:55" ht="15.75">
      <c r="A28" s="210"/>
      <c r="B28" s="157"/>
      <c r="C28" s="158"/>
      <c r="D28" s="159"/>
      <c r="E28" s="160"/>
      <c r="F28" s="161"/>
      <c r="G28" s="136">
        <f t="shared" ca="1" si="3"/>
        <v>0</v>
      </c>
      <c r="H28" s="129">
        <f t="shared" ca="1" si="4"/>
        <v>0</v>
      </c>
      <c r="I28" s="130"/>
      <c r="J28" s="129">
        <f t="shared" ref="J28:S39" ca="1" si="8">IF(ABS($E28-J$11)&lt;0.5,$D28,0)</f>
        <v>0</v>
      </c>
      <c r="K28" s="129">
        <f t="shared" ca="1" si="8"/>
        <v>0</v>
      </c>
      <c r="L28" s="129">
        <f t="shared" ca="1" si="8"/>
        <v>0</v>
      </c>
      <c r="M28" s="129">
        <f t="shared" ca="1" si="8"/>
        <v>0</v>
      </c>
      <c r="N28" s="129">
        <f t="shared" ca="1" si="8"/>
        <v>0</v>
      </c>
      <c r="O28" s="129">
        <f t="shared" ca="1" si="8"/>
        <v>0</v>
      </c>
      <c r="P28" s="129">
        <f t="shared" ca="1" si="8"/>
        <v>0</v>
      </c>
      <c r="Q28" s="129">
        <f t="shared" ca="1" si="8"/>
        <v>0</v>
      </c>
      <c r="R28" s="129">
        <f t="shared" ca="1" si="8"/>
        <v>0</v>
      </c>
      <c r="S28" s="129">
        <f t="shared" ca="1" si="8"/>
        <v>0</v>
      </c>
      <c r="T28" s="129">
        <f t="shared" ca="1" si="7"/>
        <v>0</v>
      </c>
      <c r="U28" s="129">
        <f t="shared" ca="1" si="7"/>
        <v>0</v>
      </c>
      <c r="V28" s="129">
        <f t="shared" ca="1" si="7"/>
        <v>0</v>
      </c>
      <c r="W28" s="129">
        <f t="shared" ca="1" si="7"/>
        <v>0</v>
      </c>
      <c r="X28" s="129">
        <f t="shared" ca="1" si="7"/>
        <v>0</v>
      </c>
      <c r="Y28" s="129">
        <f t="shared" ca="1" si="7"/>
        <v>0</v>
      </c>
      <c r="Z28" s="129">
        <f t="shared" ca="1" si="7"/>
        <v>0</v>
      </c>
      <c r="AA28" s="129">
        <f t="shared" ca="1" si="7"/>
        <v>0</v>
      </c>
      <c r="AB28" s="129">
        <f t="shared" ca="1" si="7"/>
        <v>0</v>
      </c>
      <c r="AC28" s="129">
        <f t="shared" ca="1" si="7"/>
        <v>0</v>
      </c>
      <c r="AD28" s="129">
        <f t="shared" ca="1" si="7"/>
        <v>0</v>
      </c>
      <c r="AE28" s="129">
        <f t="shared" ca="1" si="7"/>
        <v>0</v>
      </c>
      <c r="AF28" s="129">
        <f t="shared" ca="1" si="7"/>
        <v>0</v>
      </c>
      <c r="AG28" s="129">
        <f t="shared" ca="1" si="7"/>
        <v>0</v>
      </c>
      <c r="AH28" s="129">
        <f t="shared" ca="1" si="7"/>
        <v>0</v>
      </c>
      <c r="AI28" s="129">
        <f t="shared" ca="1" si="7"/>
        <v>0</v>
      </c>
      <c r="AJ28" s="129">
        <f t="shared" ref="AJ28:AN39" ca="1" si="9">IF(ABS($E28-AJ$11)&lt;0.5,$D28,0)</f>
        <v>0</v>
      </c>
      <c r="AK28" s="129">
        <f t="shared" ca="1" si="9"/>
        <v>0</v>
      </c>
      <c r="AL28" s="129">
        <f t="shared" ca="1" si="9"/>
        <v>0</v>
      </c>
      <c r="AM28" s="129">
        <f t="shared" ca="1" si="9"/>
        <v>0</v>
      </c>
      <c r="AN28" s="129">
        <f t="shared" ca="1" si="9"/>
        <v>0</v>
      </c>
      <c r="AQ28"/>
      <c r="AS28" s="63"/>
      <c r="AX28" s="64">
        <v>40505.032749305552</v>
      </c>
      <c r="AY28" s="127">
        <v>180</v>
      </c>
      <c r="AZ28" s="65">
        <v>40537.032749305552</v>
      </c>
      <c r="BA28" s="64">
        <v>0</v>
      </c>
      <c r="BB28" s="127">
        <v>0</v>
      </c>
      <c r="BC28" s="65">
        <v>0</v>
      </c>
    </row>
    <row r="29" spans="1:55" ht="15.75">
      <c r="A29" s="210"/>
      <c r="B29" s="157"/>
      <c r="C29" s="158"/>
      <c r="D29" s="159"/>
      <c r="E29" s="160"/>
      <c r="F29" s="161"/>
      <c r="G29" s="136">
        <f t="shared" ca="1" si="3"/>
        <v>0</v>
      </c>
      <c r="H29" s="129">
        <f t="shared" ca="1" si="4"/>
        <v>0</v>
      </c>
      <c r="I29" s="130"/>
      <c r="J29" s="129">
        <f t="shared" ca="1" si="8"/>
        <v>0</v>
      </c>
      <c r="K29" s="129">
        <f t="shared" ca="1" si="8"/>
        <v>0</v>
      </c>
      <c r="L29" s="129">
        <f t="shared" ca="1" si="8"/>
        <v>0</v>
      </c>
      <c r="M29" s="129">
        <f t="shared" ca="1" si="8"/>
        <v>0</v>
      </c>
      <c r="N29" s="129">
        <f t="shared" ca="1" si="8"/>
        <v>0</v>
      </c>
      <c r="O29" s="129">
        <f t="shared" ca="1" si="8"/>
        <v>0</v>
      </c>
      <c r="P29" s="129">
        <f t="shared" ca="1" si="8"/>
        <v>0</v>
      </c>
      <c r="Q29" s="129">
        <f t="shared" ca="1" si="8"/>
        <v>0</v>
      </c>
      <c r="R29" s="129">
        <f t="shared" ca="1" si="8"/>
        <v>0</v>
      </c>
      <c r="S29" s="129">
        <f t="shared" ca="1" si="8"/>
        <v>0</v>
      </c>
      <c r="T29" s="129">
        <f t="shared" ca="1" si="7"/>
        <v>0</v>
      </c>
      <c r="U29" s="129">
        <f t="shared" ca="1" si="7"/>
        <v>0</v>
      </c>
      <c r="V29" s="129">
        <f t="shared" ca="1" si="7"/>
        <v>0</v>
      </c>
      <c r="W29" s="129">
        <f t="shared" ca="1" si="7"/>
        <v>0</v>
      </c>
      <c r="X29" s="129">
        <f t="shared" ca="1" si="7"/>
        <v>0</v>
      </c>
      <c r="Y29" s="129">
        <f t="shared" ca="1" si="7"/>
        <v>0</v>
      </c>
      <c r="Z29" s="129">
        <f t="shared" ca="1" si="7"/>
        <v>0</v>
      </c>
      <c r="AA29" s="129">
        <f t="shared" ca="1" si="7"/>
        <v>0</v>
      </c>
      <c r="AB29" s="129">
        <f t="shared" ca="1" si="7"/>
        <v>0</v>
      </c>
      <c r="AC29" s="129">
        <f t="shared" ca="1" si="7"/>
        <v>0</v>
      </c>
      <c r="AD29" s="129">
        <f t="shared" ca="1" si="7"/>
        <v>0</v>
      </c>
      <c r="AE29" s="129">
        <f t="shared" ca="1" si="7"/>
        <v>0</v>
      </c>
      <c r="AF29" s="129">
        <f t="shared" ca="1" si="7"/>
        <v>0</v>
      </c>
      <c r="AG29" s="129">
        <f t="shared" ca="1" si="7"/>
        <v>0</v>
      </c>
      <c r="AH29" s="129">
        <f t="shared" ca="1" si="7"/>
        <v>0</v>
      </c>
      <c r="AI29" s="129">
        <f t="shared" ca="1" si="7"/>
        <v>0</v>
      </c>
      <c r="AJ29" s="129">
        <f t="shared" ca="1" si="9"/>
        <v>0</v>
      </c>
      <c r="AK29" s="129">
        <f t="shared" ca="1" si="9"/>
        <v>0</v>
      </c>
      <c r="AL29" s="129">
        <f t="shared" ca="1" si="9"/>
        <v>0</v>
      </c>
      <c r="AM29" s="129">
        <f t="shared" ca="1" si="9"/>
        <v>0</v>
      </c>
      <c r="AN29" s="129">
        <f t="shared" ca="1" si="9"/>
        <v>0</v>
      </c>
      <c r="AQ29"/>
      <c r="AS29" s="63"/>
      <c r="AX29" s="64">
        <v>40507.032749305552</v>
      </c>
      <c r="AY29" s="127">
        <v>340684</v>
      </c>
      <c r="AZ29" s="65">
        <v>40516.032749305552</v>
      </c>
      <c r="BA29" s="64">
        <v>0</v>
      </c>
      <c r="BB29" s="127">
        <v>0</v>
      </c>
      <c r="BC29" s="65">
        <v>0</v>
      </c>
    </row>
    <row r="30" spans="1:55" ht="15.75">
      <c r="A30" s="211"/>
      <c r="B30" s="157"/>
      <c r="C30" s="158"/>
      <c r="D30" s="159"/>
      <c r="E30" s="160"/>
      <c r="F30" s="161"/>
      <c r="G30" s="136">
        <f t="shared" ca="1" si="3"/>
        <v>0</v>
      </c>
      <c r="H30" s="129">
        <f t="shared" ca="1" si="4"/>
        <v>0</v>
      </c>
      <c r="I30" s="130"/>
      <c r="J30" s="129">
        <f t="shared" ca="1" si="8"/>
        <v>0</v>
      </c>
      <c r="K30" s="129">
        <f t="shared" ca="1" si="8"/>
        <v>0</v>
      </c>
      <c r="L30" s="129">
        <f t="shared" ca="1" si="8"/>
        <v>0</v>
      </c>
      <c r="M30" s="129">
        <f t="shared" ca="1" si="8"/>
        <v>0</v>
      </c>
      <c r="N30" s="129">
        <f t="shared" ca="1" si="8"/>
        <v>0</v>
      </c>
      <c r="O30" s="129">
        <f t="shared" ca="1" si="8"/>
        <v>0</v>
      </c>
      <c r="P30" s="129">
        <f t="shared" ca="1" si="8"/>
        <v>0</v>
      </c>
      <c r="Q30" s="129">
        <f t="shared" ca="1" si="8"/>
        <v>0</v>
      </c>
      <c r="R30" s="129">
        <f t="shared" ca="1" si="8"/>
        <v>0</v>
      </c>
      <c r="S30" s="129">
        <f t="shared" ca="1" si="8"/>
        <v>0</v>
      </c>
      <c r="T30" s="129">
        <f t="shared" ca="1" si="7"/>
        <v>0</v>
      </c>
      <c r="U30" s="129">
        <f t="shared" ca="1" si="7"/>
        <v>0</v>
      </c>
      <c r="V30" s="129">
        <f t="shared" ca="1" si="7"/>
        <v>0</v>
      </c>
      <c r="W30" s="129">
        <f t="shared" ca="1" si="7"/>
        <v>0</v>
      </c>
      <c r="X30" s="129">
        <f t="shared" ca="1" si="7"/>
        <v>0</v>
      </c>
      <c r="Y30" s="129">
        <f t="shared" ca="1" si="7"/>
        <v>0</v>
      </c>
      <c r="Z30" s="129">
        <f t="shared" ca="1" si="7"/>
        <v>0</v>
      </c>
      <c r="AA30" s="129">
        <f t="shared" ca="1" si="7"/>
        <v>0</v>
      </c>
      <c r="AB30" s="129">
        <f t="shared" ca="1" si="7"/>
        <v>0</v>
      </c>
      <c r="AC30" s="129">
        <f t="shared" ca="1" si="7"/>
        <v>0</v>
      </c>
      <c r="AD30" s="129">
        <f t="shared" ca="1" si="7"/>
        <v>0</v>
      </c>
      <c r="AE30" s="129">
        <f t="shared" ca="1" si="7"/>
        <v>0</v>
      </c>
      <c r="AF30" s="129">
        <f t="shared" ca="1" si="7"/>
        <v>0</v>
      </c>
      <c r="AG30" s="129">
        <f t="shared" ca="1" si="7"/>
        <v>0</v>
      </c>
      <c r="AH30" s="129">
        <f t="shared" ca="1" si="7"/>
        <v>0</v>
      </c>
      <c r="AI30" s="129">
        <f t="shared" ca="1" si="7"/>
        <v>0</v>
      </c>
      <c r="AJ30" s="129">
        <f t="shared" ca="1" si="9"/>
        <v>0</v>
      </c>
      <c r="AK30" s="129">
        <f t="shared" ca="1" si="9"/>
        <v>0</v>
      </c>
      <c r="AL30" s="129">
        <f t="shared" ca="1" si="9"/>
        <v>0</v>
      </c>
      <c r="AM30" s="129">
        <f t="shared" ca="1" si="9"/>
        <v>0</v>
      </c>
      <c r="AN30" s="129">
        <f t="shared" ca="1" si="9"/>
        <v>0</v>
      </c>
      <c r="AQ30"/>
      <c r="AS30" s="63"/>
      <c r="AX30" s="64">
        <v>40512.032749305552</v>
      </c>
      <c r="AY30" s="127">
        <v>57236.45</v>
      </c>
      <c r="AZ30" s="65">
        <v>40557.032749305552</v>
      </c>
      <c r="BA30" s="64">
        <v>0</v>
      </c>
      <c r="BB30" s="127">
        <v>0</v>
      </c>
      <c r="BC30" s="65">
        <v>0</v>
      </c>
    </row>
    <row r="31" spans="1:55" ht="15.75">
      <c r="A31" s="210"/>
      <c r="B31" s="157"/>
      <c r="C31" s="158"/>
      <c r="D31" s="159"/>
      <c r="E31" s="160"/>
      <c r="F31" s="161"/>
      <c r="G31" s="136">
        <f t="shared" ca="1" si="3"/>
        <v>0</v>
      </c>
      <c r="H31" s="129">
        <f t="shared" ca="1" si="4"/>
        <v>0</v>
      </c>
      <c r="I31" s="130"/>
      <c r="J31" s="129">
        <f t="shared" ca="1" si="8"/>
        <v>0</v>
      </c>
      <c r="K31" s="129">
        <f t="shared" ca="1" si="8"/>
        <v>0</v>
      </c>
      <c r="L31" s="129">
        <f t="shared" ca="1" si="8"/>
        <v>0</v>
      </c>
      <c r="M31" s="129">
        <f t="shared" ca="1" si="8"/>
        <v>0</v>
      </c>
      <c r="N31" s="129">
        <f t="shared" ca="1" si="8"/>
        <v>0</v>
      </c>
      <c r="O31" s="129">
        <f t="shared" ca="1" si="8"/>
        <v>0</v>
      </c>
      <c r="P31" s="129">
        <f t="shared" ca="1" si="8"/>
        <v>0</v>
      </c>
      <c r="Q31" s="129">
        <f t="shared" ca="1" si="8"/>
        <v>0</v>
      </c>
      <c r="R31" s="129">
        <f t="shared" ca="1" si="8"/>
        <v>0</v>
      </c>
      <c r="S31" s="129">
        <f t="shared" ca="1" si="8"/>
        <v>0</v>
      </c>
      <c r="T31" s="129">
        <f t="shared" ca="1" si="7"/>
        <v>0</v>
      </c>
      <c r="U31" s="129">
        <f t="shared" ca="1" si="7"/>
        <v>0</v>
      </c>
      <c r="V31" s="129">
        <f t="shared" ca="1" si="7"/>
        <v>0</v>
      </c>
      <c r="W31" s="129">
        <f t="shared" ca="1" si="7"/>
        <v>0</v>
      </c>
      <c r="X31" s="129">
        <f t="shared" ca="1" si="7"/>
        <v>0</v>
      </c>
      <c r="Y31" s="129">
        <f t="shared" ca="1" si="7"/>
        <v>0</v>
      </c>
      <c r="Z31" s="129">
        <f t="shared" ca="1" si="7"/>
        <v>0</v>
      </c>
      <c r="AA31" s="129">
        <f t="shared" ca="1" si="7"/>
        <v>0</v>
      </c>
      <c r="AB31" s="129">
        <f t="shared" ca="1" si="7"/>
        <v>0</v>
      </c>
      <c r="AC31" s="129">
        <f t="shared" ca="1" si="7"/>
        <v>0</v>
      </c>
      <c r="AD31" s="129">
        <f t="shared" ca="1" si="7"/>
        <v>0</v>
      </c>
      <c r="AE31" s="129">
        <f t="shared" ca="1" si="7"/>
        <v>0</v>
      </c>
      <c r="AF31" s="129">
        <f t="shared" ca="1" si="7"/>
        <v>0</v>
      </c>
      <c r="AG31" s="129">
        <f t="shared" ca="1" si="7"/>
        <v>0</v>
      </c>
      <c r="AH31" s="129">
        <f t="shared" ca="1" si="7"/>
        <v>0</v>
      </c>
      <c r="AI31" s="129">
        <f t="shared" ca="1" si="7"/>
        <v>0</v>
      </c>
      <c r="AJ31" s="129">
        <f t="shared" ca="1" si="9"/>
        <v>0</v>
      </c>
      <c r="AK31" s="129">
        <f t="shared" ca="1" si="9"/>
        <v>0</v>
      </c>
      <c r="AL31" s="129">
        <f t="shared" ca="1" si="9"/>
        <v>0</v>
      </c>
      <c r="AM31" s="129">
        <f t="shared" ca="1" si="9"/>
        <v>0</v>
      </c>
      <c r="AN31" s="129">
        <f t="shared" ca="1" si="9"/>
        <v>0</v>
      </c>
      <c r="AQ31"/>
      <c r="AS31" s="63"/>
      <c r="AX31" s="64">
        <v>40550.032749305552</v>
      </c>
      <c r="AY31" s="127">
        <v>19853</v>
      </c>
      <c r="AZ31" s="65">
        <v>40596.032749305552</v>
      </c>
      <c r="BA31" s="64">
        <v>0</v>
      </c>
      <c r="BB31" s="127">
        <v>0</v>
      </c>
      <c r="BC31" s="65">
        <v>0</v>
      </c>
    </row>
    <row r="32" spans="1:55" ht="15.75">
      <c r="A32" s="211"/>
      <c r="B32" s="157"/>
      <c r="C32" s="158"/>
      <c r="D32" s="159"/>
      <c r="E32" s="160"/>
      <c r="F32" s="161"/>
      <c r="G32" s="136">
        <f t="shared" ca="1" si="3"/>
        <v>0</v>
      </c>
      <c r="H32" s="129">
        <f t="shared" ca="1" si="4"/>
        <v>0</v>
      </c>
      <c r="I32" s="130"/>
      <c r="J32" s="129">
        <f t="shared" ca="1" si="8"/>
        <v>0</v>
      </c>
      <c r="K32" s="129">
        <f t="shared" ca="1" si="8"/>
        <v>0</v>
      </c>
      <c r="L32" s="129">
        <f t="shared" ca="1" si="8"/>
        <v>0</v>
      </c>
      <c r="M32" s="129">
        <f t="shared" ca="1" si="8"/>
        <v>0</v>
      </c>
      <c r="N32" s="129">
        <f t="shared" ca="1" si="8"/>
        <v>0</v>
      </c>
      <c r="O32" s="129">
        <f t="shared" ca="1" si="8"/>
        <v>0</v>
      </c>
      <c r="P32" s="129">
        <f t="shared" ca="1" si="8"/>
        <v>0</v>
      </c>
      <c r="Q32" s="129">
        <f t="shared" ca="1" si="8"/>
        <v>0</v>
      </c>
      <c r="R32" s="129">
        <f t="shared" ca="1" si="8"/>
        <v>0</v>
      </c>
      <c r="S32" s="129">
        <f t="shared" ca="1" si="8"/>
        <v>0</v>
      </c>
      <c r="T32" s="129">
        <f t="shared" ca="1" si="7"/>
        <v>0</v>
      </c>
      <c r="U32" s="129">
        <f t="shared" ca="1" si="7"/>
        <v>0</v>
      </c>
      <c r="V32" s="129">
        <f t="shared" ca="1" si="7"/>
        <v>0</v>
      </c>
      <c r="W32" s="129">
        <f t="shared" ca="1" si="7"/>
        <v>0</v>
      </c>
      <c r="X32" s="129">
        <f t="shared" ca="1" si="7"/>
        <v>0</v>
      </c>
      <c r="Y32" s="129">
        <f t="shared" ca="1" si="7"/>
        <v>0</v>
      </c>
      <c r="Z32" s="129">
        <f t="shared" ca="1" si="7"/>
        <v>0</v>
      </c>
      <c r="AA32" s="129">
        <f t="shared" ca="1" si="7"/>
        <v>0</v>
      </c>
      <c r="AB32" s="129">
        <f t="shared" ca="1" si="7"/>
        <v>0</v>
      </c>
      <c r="AC32" s="129">
        <f t="shared" ca="1" si="7"/>
        <v>0</v>
      </c>
      <c r="AD32" s="129">
        <f t="shared" ca="1" si="7"/>
        <v>0</v>
      </c>
      <c r="AE32" s="129">
        <f t="shared" ca="1" si="7"/>
        <v>0</v>
      </c>
      <c r="AF32" s="129">
        <f t="shared" ca="1" si="7"/>
        <v>0</v>
      </c>
      <c r="AG32" s="129">
        <f t="shared" ca="1" si="7"/>
        <v>0</v>
      </c>
      <c r="AH32" s="129">
        <f t="shared" ca="1" si="7"/>
        <v>0</v>
      </c>
      <c r="AI32" s="129">
        <f t="shared" ca="1" si="7"/>
        <v>0</v>
      </c>
      <c r="AJ32" s="129">
        <f t="shared" ca="1" si="9"/>
        <v>0</v>
      </c>
      <c r="AK32" s="129">
        <f t="shared" ca="1" si="9"/>
        <v>0</v>
      </c>
      <c r="AL32" s="129">
        <f t="shared" ca="1" si="9"/>
        <v>0</v>
      </c>
      <c r="AM32" s="129">
        <f t="shared" ca="1" si="9"/>
        <v>0</v>
      </c>
      <c r="AN32" s="129">
        <f t="shared" ca="1" si="9"/>
        <v>0</v>
      </c>
      <c r="AQ32"/>
      <c r="AS32" s="63"/>
      <c r="AX32" s="64">
        <v>40512.032749305552</v>
      </c>
      <c r="AY32" s="127">
        <v>144150.35999999999</v>
      </c>
      <c r="AZ32" s="65">
        <v>40513.032749305552</v>
      </c>
      <c r="BA32" s="64">
        <v>0</v>
      </c>
      <c r="BB32" s="127">
        <v>0</v>
      </c>
      <c r="BC32" s="65">
        <v>0</v>
      </c>
    </row>
    <row r="33" spans="1:55" ht="15.75">
      <c r="A33" s="210"/>
      <c r="B33" s="157"/>
      <c r="C33" s="158"/>
      <c r="D33" s="159"/>
      <c r="E33" s="160"/>
      <c r="F33" s="161"/>
      <c r="G33" s="136">
        <f t="shared" ca="1" si="3"/>
        <v>0</v>
      </c>
      <c r="H33" s="129">
        <f t="shared" ca="1" si="4"/>
        <v>0</v>
      </c>
      <c r="I33" s="130"/>
      <c r="J33" s="129">
        <f t="shared" ca="1" si="8"/>
        <v>0</v>
      </c>
      <c r="K33" s="129">
        <f t="shared" ca="1" si="8"/>
        <v>0</v>
      </c>
      <c r="L33" s="129">
        <f t="shared" ca="1" si="8"/>
        <v>0</v>
      </c>
      <c r="M33" s="129">
        <f t="shared" ca="1" si="8"/>
        <v>0</v>
      </c>
      <c r="N33" s="129">
        <f t="shared" ca="1" si="8"/>
        <v>0</v>
      </c>
      <c r="O33" s="129">
        <f t="shared" ca="1" si="8"/>
        <v>0</v>
      </c>
      <c r="P33" s="129">
        <f t="shared" ca="1" si="8"/>
        <v>0</v>
      </c>
      <c r="Q33" s="129">
        <f t="shared" ca="1" si="8"/>
        <v>0</v>
      </c>
      <c r="R33" s="129">
        <f t="shared" ca="1" si="8"/>
        <v>0</v>
      </c>
      <c r="S33" s="129">
        <f t="shared" ca="1" si="8"/>
        <v>0</v>
      </c>
      <c r="T33" s="129">
        <f t="shared" ca="1" si="7"/>
        <v>0</v>
      </c>
      <c r="U33" s="129">
        <f t="shared" ca="1" si="7"/>
        <v>0</v>
      </c>
      <c r="V33" s="129">
        <f t="shared" ca="1" si="7"/>
        <v>0</v>
      </c>
      <c r="W33" s="129">
        <f t="shared" ca="1" si="7"/>
        <v>0</v>
      </c>
      <c r="X33" s="129">
        <f t="shared" ca="1" si="7"/>
        <v>0</v>
      </c>
      <c r="Y33" s="129">
        <f t="shared" ca="1" si="7"/>
        <v>0</v>
      </c>
      <c r="Z33" s="129">
        <f t="shared" ca="1" si="7"/>
        <v>0</v>
      </c>
      <c r="AA33" s="129">
        <f t="shared" ca="1" si="7"/>
        <v>0</v>
      </c>
      <c r="AB33" s="129">
        <f t="shared" ca="1" si="7"/>
        <v>0</v>
      </c>
      <c r="AC33" s="129">
        <f t="shared" ca="1" si="7"/>
        <v>0</v>
      </c>
      <c r="AD33" s="129">
        <f t="shared" ca="1" si="7"/>
        <v>0</v>
      </c>
      <c r="AE33" s="129">
        <f t="shared" ca="1" si="7"/>
        <v>0</v>
      </c>
      <c r="AF33" s="129">
        <f t="shared" ca="1" si="7"/>
        <v>0</v>
      </c>
      <c r="AG33" s="129">
        <f t="shared" ca="1" si="7"/>
        <v>0</v>
      </c>
      <c r="AH33" s="129">
        <f t="shared" ca="1" si="7"/>
        <v>0</v>
      </c>
      <c r="AI33" s="129">
        <f t="shared" ca="1" si="7"/>
        <v>0</v>
      </c>
      <c r="AJ33" s="129">
        <f t="shared" ca="1" si="9"/>
        <v>0</v>
      </c>
      <c r="AK33" s="129">
        <f t="shared" ca="1" si="9"/>
        <v>0</v>
      </c>
      <c r="AL33" s="129">
        <f t="shared" ca="1" si="9"/>
        <v>0</v>
      </c>
      <c r="AM33" s="129">
        <f t="shared" ca="1" si="9"/>
        <v>0</v>
      </c>
      <c r="AN33" s="129">
        <f t="shared" ca="1" si="9"/>
        <v>0</v>
      </c>
      <c r="AQ33"/>
      <c r="AS33" s="63"/>
      <c r="AX33" s="64">
        <v>40534.032749305552</v>
      </c>
      <c r="AY33" s="127">
        <v>137554.14000000001</v>
      </c>
      <c r="AZ33" s="65">
        <v>40578.032749305552</v>
      </c>
      <c r="BA33" s="64">
        <v>0</v>
      </c>
      <c r="BB33" s="127">
        <v>0</v>
      </c>
      <c r="BC33" s="65">
        <v>0</v>
      </c>
    </row>
    <row r="34" spans="1:55" ht="15.75">
      <c r="A34" s="210"/>
      <c r="B34" s="157"/>
      <c r="C34" s="158"/>
      <c r="D34" s="159"/>
      <c r="E34" s="160"/>
      <c r="F34" s="161"/>
      <c r="G34" s="136">
        <f t="shared" ca="1" si="3"/>
        <v>0</v>
      </c>
      <c r="H34" s="129">
        <f t="shared" ca="1" si="4"/>
        <v>0</v>
      </c>
      <c r="I34" s="130"/>
      <c r="J34" s="129">
        <f t="shared" ca="1" si="8"/>
        <v>0</v>
      </c>
      <c r="K34" s="129">
        <f t="shared" ca="1" si="8"/>
        <v>0</v>
      </c>
      <c r="L34" s="129">
        <f t="shared" ca="1" si="8"/>
        <v>0</v>
      </c>
      <c r="M34" s="129">
        <f t="shared" ca="1" si="8"/>
        <v>0</v>
      </c>
      <c r="N34" s="129">
        <f t="shared" ca="1" si="8"/>
        <v>0</v>
      </c>
      <c r="O34" s="129">
        <f t="shared" ca="1" si="8"/>
        <v>0</v>
      </c>
      <c r="P34" s="129">
        <f t="shared" ca="1" si="8"/>
        <v>0</v>
      </c>
      <c r="Q34" s="129">
        <f t="shared" ca="1" si="8"/>
        <v>0</v>
      </c>
      <c r="R34" s="129">
        <f t="shared" ca="1" si="8"/>
        <v>0</v>
      </c>
      <c r="S34" s="129">
        <f t="shared" ca="1" si="8"/>
        <v>0</v>
      </c>
      <c r="T34" s="129">
        <f t="shared" ca="1" si="7"/>
        <v>0</v>
      </c>
      <c r="U34" s="129">
        <f t="shared" ca="1" si="7"/>
        <v>0</v>
      </c>
      <c r="V34" s="129">
        <f t="shared" ca="1" si="7"/>
        <v>0</v>
      </c>
      <c r="W34" s="129">
        <f t="shared" ca="1" si="7"/>
        <v>0</v>
      </c>
      <c r="X34" s="129">
        <f t="shared" ca="1" si="7"/>
        <v>0</v>
      </c>
      <c r="Y34" s="129">
        <f t="shared" ca="1" si="7"/>
        <v>0</v>
      </c>
      <c r="Z34" s="129">
        <f t="shared" ca="1" si="7"/>
        <v>0</v>
      </c>
      <c r="AA34" s="129">
        <f t="shared" ca="1" si="7"/>
        <v>0</v>
      </c>
      <c r="AB34" s="129">
        <f t="shared" ca="1" si="7"/>
        <v>0</v>
      </c>
      <c r="AC34" s="129">
        <f t="shared" ca="1" si="7"/>
        <v>0</v>
      </c>
      <c r="AD34" s="129">
        <f t="shared" ca="1" si="7"/>
        <v>0</v>
      </c>
      <c r="AE34" s="129">
        <f t="shared" ca="1" si="7"/>
        <v>0</v>
      </c>
      <c r="AF34" s="129">
        <f t="shared" ca="1" si="7"/>
        <v>0</v>
      </c>
      <c r="AG34" s="129">
        <f t="shared" ca="1" si="7"/>
        <v>0</v>
      </c>
      <c r="AH34" s="129">
        <f t="shared" ca="1" si="7"/>
        <v>0</v>
      </c>
      <c r="AI34" s="129">
        <f t="shared" ca="1" si="7"/>
        <v>0</v>
      </c>
      <c r="AJ34" s="129">
        <f t="shared" ca="1" si="9"/>
        <v>0</v>
      </c>
      <c r="AK34" s="129">
        <f t="shared" ca="1" si="9"/>
        <v>0</v>
      </c>
      <c r="AL34" s="129">
        <f t="shared" ca="1" si="9"/>
        <v>0</v>
      </c>
      <c r="AM34" s="129">
        <f t="shared" ca="1" si="9"/>
        <v>0</v>
      </c>
      <c r="AN34" s="129">
        <f t="shared" ca="1" si="9"/>
        <v>0</v>
      </c>
      <c r="AQ34"/>
      <c r="AS34" s="63"/>
      <c r="AX34" s="64">
        <v>40545.032749305552</v>
      </c>
      <c r="AY34" s="127">
        <v>87932.68</v>
      </c>
      <c r="AZ34" s="65">
        <v>40559.032749305552</v>
      </c>
      <c r="BA34" s="64">
        <v>0</v>
      </c>
      <c r="BB34" s="127">
        <v>0</v>
      </c>
      <c r="BC34" s="65">
        <v>0</v>
      </c>
    </row>
    <row r="35" spans="1:55" ht="15.75">
      <c r="A35" s="211"/>
      <c r="B35" s="157"/>
      <c r="C35" s="158"/>
      <c r="D35" s="159"/>
      <c r="E35" s="160"/>
      <c r="F35" s="161"/>
      <c r="G35" s="136">
        <f t="shared" ca="1" si="3"/>
        <v>0</v>
      </c>
      <c r="H35" s="129">
        <f t="shared" ca="1" si="4"/>
        <v>0</v>
      </c>
      <c r="I35" s="130"/>
      <c r="J35" s="129">
        <f t="shared" ca="1" si="8"/>
        <v>0</v>
      </c>
      <c r="K35" s="129">
        <f t="shared" ca="1" si="8"/>
        <v>0</v>
      </c>
      <c r="L35" s="129">
        <f t="shared" ca="1" si="8"/>
        <v>0</v>
      </c>
      <c r="M35" s="129">
        <f t="shared" ca="1" si="8"/>
        <v>0</v>
      </c>
      <c r="N35" s="129">
        <f t="shared" ca="1" si="8"/>
        <v>0</v>
      </c>
      <c r="O35" s="129">
        <f t="shared" ca="1" si="8"/>
        <v>0</v>
      </c>
      <c r="P35" s="129">
        <f t="shared" ca="1" si="8"/>
        <v>0</v>
      </c>
      <c r="Q35" s="129">
        <f t="shared" ca="1" si="8"/>
        <v>0</v>
      </c>
      <c r="R35" s="129">
        <f t="shared" ca="1" si="8"/>
        <v>0</v>
      </c>
      <c r="S35" s="129">
        <f t="shared" ca="1" si="8"/>
        <v>0</v>
      </c>
      <c r="T35" s="129">
        <f t="shared" ca="1" si="7"/>
        <v>0</v>
      </c>
      <c r="U35" s="129">
        <f t="shared" ca="1" si="7"/>
        <v>0</v>
      </c>
      <c r="V35" s="129">
        <f t="shared" ca="1" si="7"/>
        <v>0</v>
      </c>
      <c r="W35" s="129">
        <f t="shared" ca="1" si="7"/>
        <v>0</v>
      </c>
      <c r="X35" s="129">
        <f t="shared" ca="1" si="7"/>
        <v>0</v>
      </c>
      <c r="Y35" s="129">
        <f t="shared" ca="1" si="7"/>
        <v>0</v>
      </c>
      <c r="Z35" s="129">
        <f t="shared" ca="1" si="7"/>
        <v>0</v>
      </c>
      <c r="AA35" s="129">
        <f t="shared" ca="1" si="7"/>
        <v>0</v>
      </c>
      <c r="AB35" s="129">
        <f t="shared" ca="1" si="7"/>
        <v>0</v>
      </c>
      <c r="AC35" s="129">
        <f t="shared" ca="1" si="7"/>
        <v>0</v>
      </c>
      <c r="AD35" s="129">
        <f t="shared" ca="1" si="7"/>
        <v>0</v>
      </c>
      <c r="AE35" s="129">
        <f t="shared" ca="1" si="7"/>
        <v>0</v>
      </c>
      <c r="AF35" s="129">
        <f t="shared" ca="1" si="7"/>
        <v>0</v>
      </c>
      <c r="AG35" s="129">
        <f t="shared" ca="1" si="7"/>
        <v>0</v>
      </c>
      <c r="AH35" s="129">
        <f t="shared" ca="1" si="7"/>
        <v>0</v>
      </c>
      <c r="AI35" s="129">
        <f t="shared" ca="1" si="7"/>
        <v>0</v>
      </c>
      <c r="AJ35" s="129">
        <f t="shared" ca="1" si="9"/>
        <v>0</v>
      </c>
      <c r="AK35" s="129">
        <f t="shared" ca="1" si="9"/>
        <v>0</v>
      </c>
      <c r="AL35" s="129">
        <f t="shared" ca="1" si="9"/>
        <v>0</v>
      </c>
      <c r="AM35" s="129">
        <f t="shared" ca="1" si="9"/>
        <v>0</v>
      </c>
      <c r="AN35" s="129">
        <f t="shared" ca="1" si="9"/>
        <v>0</v>
      </c>
      <c r="AQ35"/>
      <c r="AS35" s="63"/>
      <c r="AX35" s="64">
        <v>40550.032749305552</v>
      </c>
      <c r="AY35" s="127">
        <v>13392</v>
      </c>
      <c r="AZ35" s="65">
        <v>40551.032749305552</v>
      </c>
      <c r="BA35" s="64">
        <v>0</v>
      </c>
      <c r="BB35" s="127">
        <v>0</v>
      </c>
      <c r="BC35" s="65">
        <v>0</v>
      </c>
    </row>
    <row r="36" spans="1:55" ht="15.75">
      <c r="A36" s="210"/>
      <c r="B36" s="157"/>
      <c r="C36" s="158"/>
      <c r="D36" s="159"/>
      <c r="E36" s="160"/>
      <c r="F36" s="161"/>
      <c r="G36" s="136">
        <f t="shared" ca="1" si="3"/>
        <v>0</v>
      </c>
      <c r="H36" s="129">
        <f t="shared" ca="1" si="4"/>
        <v>0</v>
      </c>
      <c r="I36" s="130"/>
      <c r="J36" s="129">
        <f t="shared" ca="1" si="8"/>
        <v>0</v>
      </c>
      <c r="K36" s="129">
        <f t="shared" ca="1" si="8"/>
        <v>0</v>
      </c>
      <c r="L36" s="129">
        <f t="shared" ca="1" si="8"/>
        <v>0</v>
      </c>
      <c r="M36" s="129">
        <f t="shared" ca="1" si="8"/>
        <v>0</v>
      </c>
      <c r="N36" s="129">
        <f t="shared" ca="1" si="8"/>
        <v>0</v>
      </c>
      <c r="O36" s="129">
        <f t="shared" ca="1" si="8"/>
        <v>0</v>
      </c>
      <c r="P36" s="129">
        <f t="shared" ca="1" si="8"/>
        <v>0</v>
      </c>
      <c r="Q36" s="129">
        <f t="shared" ca="1" si="8"/>
        <v>0</v>
      </c>
      <c r="R36" s="129">
        <f t="shared" ca="1" si="8"/>
        <v>0</v>
      </c>
      <c r="S36" s="129">
        <f t="shared" ca="1" si="8"/>
        <v>0</v>
      </c>
      <c r="T36" s="129">
        <f t="shared" ca="1" si="7"/>
        <v>0</v>
      </c>
      <c r="U36" s="129">
        <f t="shared" ca="1" si="7"/>
        <v>0</v>
      </c>
      <c r="V36" s="129">
        <f t="shared" ca="1" si="7"/>
        <v>0</v>
      </c>
      <c r="W36" s="129">
        <f t="shared" ca="1" si="7"/>
        <v>0</v>
      </c>
      <c r="X36" s="129">
        <f t="shared" ca="1" si="7"/>
        <v>0</v>
      </c>
      <c r="Y36" s="129">
        <f t="shared" ca="1" si="7"/>
        <v>0</v>
      </c>
      <c r="Z36" s="129">
        <f t="shared" ca="1" si="7"/>
        <v>0</v>
      </c>
      <c r="AA36" s="129">
        <f t="shared" ca="1" si="7"/>
        <v>0</v>
      </c>
      <c r="AB36" s="129">
        <f t="shared" ca="1" si="7"/>
        <v>0</v>
      </c>
      <c r="AC36" s="129">
        <f t="shared" ca="1" si="7"/>
        <v>0</v>
      </c>
      <c r="AD36" s="129">
        <f t="shared" ca="1" si="7"/>
        <v>0</v>
      </c>
      <c r="AE36" s="129">
        <f t="shared" ca="1" si="7"/>
        <v>0</v>
      </c>
      <c r="AF36" s="129">
        <f t="shared" ca="1" si="7"/>
        <v>0</v>
      </c>
      <c r="AG36" s="129">
        <f t="shared" ca="1" si="7"/>
        <v>0</v>
      </c>
      <c r="AH36" s="129">
        <f t="shared" ca="1" si="7"/>
        <v>0</v>
      </c>
      <c r="AI36" s="129">
        <f t="shared" ca="1" si="7"/>
        <v>0</v>
      </c>
      <c r="AJ36" s="129">
        <f t="shared" ca="1" si="9"/>
        <v>0</v>
      </c>
      <c r="AK36" s="129">
        <f t="shared" ca="1" si="9"/>
        <v>0</v>
      </c>
      <c r="AL36" s="129">
        <f t="shared" ca="1" si="9"/>
        <v>0</v>
      </c>
      <c r="AM36" s="129">
        <f t="shared" ca="1" si="9"/>
        <v>0</v>
      </c>
      <c r="AN36" s="129">
        <f t="shared" ca="1" si="9"/>
        <v>0</v>
      </c>
      <c r="AQ36"/>
      <c r="AS36" s="63"/>
      <c r="AX36" s="64">
        <v>40523.032749305552</v>
      </c>
      <c r="AY36" s="127">
        <v>69525</v>
      </c>
      <c r="AZ36" s="65">
        <v>40527.032749305552</v>
      </c>
      <c r="BA36" s="64">
        <v>0</v>
      </c>
      <c r="BB36" s="127">
        <v>0</v>
      </c>
      <c r="BC36" s="65">
        <v>0</v>
      </c>
    </row>
    <row r="37" spans="1:55" ht="15.75">
      <c r="A37" s="210"/>
      <c r="B37" s="157"/>
      <c r="C37" s="158"/>
      <c r="D37" s="159"/>
      <c r="E37" s="160"/>
      <c r="F37" s="161"/>
      <c r="G37" s="136">
        <f t="shared" ca="1" si="3"/>
        <v>0</v>
      </c>
      <c r="H37" s="129">
        <f t="shared" ca="1" si="4"/>
        <v>0</v>
      </c>
      <c r="I37" s="130"/>
      <c r="J37" s="129">
        <f t="shared" ca="1" si="8"/>
        <v>0</v>
      </c>
      <c r="K37" s="129">
        <f t="shared" ca="1" si="8"/>
        <v>0</v>
      </c>
      <c r="L37" s="129">
        <f t="shared" ca="1" si="8"/>
        <v>0</v>
      </c>
      <c r="M37" s="129">
        <f t="shared" ca="1" si="8"/>
        <v>0</v>
      </c>
      <c r="N37" s="129">
        <f t="shared" ca="1" si="8"/>
        <v>0</v>
      </c>
      <c r="O37" s="129">
        <f t="shared" ca="1" si="8"/>
        <v>0</v>
      </c>
      <c r="P37" s="129">
        <f t="shared" ca="1" si="8"/>
        <v>0</v>
      </c>
      <c r="Q37" s="129">
        <f t="shared" ca="1" si="8"/>
        <v>0</v>
      </c>
      <c r="R37" s="129">
        <f t="shared" ca="1" si="8"/>
        <v>0</v>
      </c>
      <c r="S37" s="129">
        <f t="shared" ca="1" si="8"/>
        <v>0</v>
      </c>
      <c r="T37" s="129">
        <f t="shared" ca="1" si="7"/>
        <v>0</v>
      </c>
      <c r="U37" s="129">
        <f t="shared" ca="1" si="7"/>
        <v>0</v>
      </c>
      <c r="V37" s="129">
        <f t="shared" ca="1" si="7"/>
        <v>0</v>
      </c>
      <c r="W37" s="129">
        <f t="shared" ca="1" si="7"/>
        <v>0</v>
      </c>
      <c r="X37" s="129">
        <f t="shared" ca="1" si="7"/>
        <v>0</v>
      </c>
      <c r="Y37" s="129">
        <f t="shared" ca="1" si="7"/>
        <v>0</v>
      </c>
      <c r="Z37" s="129">
        <f t="shared" ca="1" si="7"/>
        <v>0</v>
      </c>
      <c r="AA37" s="129">
        <f t="shared" ca="1" si="7"/>
        <v>0</v>
      </c>
      <c r="AB37" s="129">
        <f t="shared" ca="1" si="7"/>
        <v>0</v>
      </c>
      <c r="AC37" s="129">
        <f t="shared" ca="1" si="7"/>
        <v>0</v>
      </c>
      <c r="AD37" s="129">
        <f t="shared" ca="1" si="7"/>
        <v>0</v>
      </c>
      <c r="AE37" s="129">
        <f t="shared" ca="1" si="7"/>
        <v>0</v>
      </c>
      <c r="AF37" s="129">
        <f t="shared" ca="1" si="7"/>
        <v>0</v>
      </c>
      <c r="AG37" s="129">
        <f t="shared" ca="1" si="7"/>
        <v>0</v>
      </c>
      <c r="AH37" s="129">
        <f t="shared" ca="1" si="7"/>
        <v>0</v>
      </c>
      <c r="AI37" s="129">
        <f t="shared" ca="1" si="7"/>
        <v>0</v>
      </c>
      <c r="AJ37" s="129">
        <f t="shared" ca="1" si="9"/>
        <v>0</v>
      </c>
      <c r="AK37" s="129">
        <f t="shared" ca="1" si="9"/>
        <v>0</v>
      </c>
      <c r="AL37" s="129">
        <f t="shared" ca="1" si="9"/>
        <v>0</v>
      </c>
      <c r="AM37" s="129">
        <f t="shared" ca="1" si="9"/>
        <v>0</v>
      </c>
      <c r="AN37" s="129">
        <f t="shared" ca="1" si="9"/>
        <v>0</v>
      </c>
      <c r="AQ37"/>
      <c r="AS37" s="63"/>
      <c r="AX37" s="64">
        <v>40545.032749305552</v>
      </c>
      <c r="AY37" s="127">
        <v>16536</v>
      </c>
      <c r="AZ37" s="65">
        <v>40589.032749305552</v>
      </c>
      <c r="BA37" s="64">
        <v>0</v>
      </c>
      <c r="BB37" s="127">
        <v>0</v>
      </c>
      <c r="BC37" s="65">
        <v>0</v>
      </c>
    </row>
    <row r="38" spans="1:55" ht="15.75">
      <c r="A38" s="210"/>
      <c r="B38" s="157"/>
      <c r="C38" s="158"/>
      <c r="D38" s="159"/>
      <c r="E38" s="160"/>
      <c r="F38" s="161"/>
      <c r="G38" s="136">
        <f t="shared" ca="1" si="3"/>
        <v>0</v>
      </c>
      <c r="H38" s="129">
        <f t="shared" ca="1" si="4"/>
        <v>0</v>
      </c>
      <c r="I38" s="130"/>
      <c r="J38" s="129">
        <f t="shared" ca="1" si="8"/>
        <v>0</v>
      </c>
      <c r="K38" s="129">
        <f t="shared" ca="1" si="8"/>
        <v>0</v>
      </c>
      <c r="L38" s="129">
        <f t="shared" ca="1" si="8"/>
        <v>0</v>
      </c>
      <c r="M38" s="129">
        <f t="shared" ca="1" si="8"/>
        <v>0</v>
      </c>
      <c r="N38" s="129">
        <f t="shared" ca="1" si="8"/>
        <v>0</v>
      </c>
      <c r="O38" s="129">
        <f t="shared" ca="1" si="8"/>
        <v>0</v>
      </c>
      <c r="P38" s="129">
        <f t="shared" ca="1" si="8"/>
        <v>0</v>
      </c>
      <c r="Q38" s="129">
        <f t="shared" ca="1" si="8"/>
        <v>0</v>
      </c>
      <c r="R38" s="129">
        <f t="shared" ca="1" si="8"/>
        <v>0</v>
      </c>
      <c r="S38" s="129">
        <f t="shared" ca="1" si="8"/>
        <v>0</v>
      </c>
      <c r="T38" s="129">
        <f t="shared" ca="1" si="7"/>
        <v>0</v>
      </c>
      <c r="U38" s="129">
        <f t="shared" ca="1" si="7"/>
        <v>0</v>
      </c>
      <c r="V38" s="129">
        <f t="shared" ca="1" si="7"/>
        <v>0</v>
      </c>
      <c r="W38" s="129">
        <f t="shared" ca="1" si="7"/>
        <v>0</v>
      </c>
      <c r="X38" s="129">
        <f t="shared" ca="1" si="7"/>
        <v>0</v>
      </c>
      <c r="Y38" s="129">
        <f t="shared" ca="1" si="7"/>
        <v>0</v>
      </c>
      <c r="Z38" s="129">
        <f t="shared" ca="1" si="7"/>
        <v>0</v>
      </c>
      <c r="AA38" s="129">
        <f t="shared" ca="1" si="7"/>
        <v>0</v>
      </c>
      <c r="AB38" s="129">
        <f t="shared" ca="1" si="7"/>
        <v>0</v>
      </c>
      <c r="AC38" s="129">
        <f t="shared" ca="1" si="7"/>
        <v>0</v>
      </c>
      <c r="AD38" s="129">
        <f t="shared" ca="1" si="7"/>
        <v>0</v>
      </c>
      <c r="AE38" s="129">
        <f t="shared" ca="1" si="7"/>
        <v>0</v>
      </c>
      <c r="AF38" s="129">
        <f t="shared" ca="1" si="7"/>
        <v>0</v>
      </c>
      <c r="AG38" s="129">
        <f t="shared" ca="1" si="7"/>
        <v>0</v>
      </c>
      <c r="AH38" s="129">
        <f t="shared" ca="1" si="7"/>
        <v>0</v>
      </c>
      <c r="AI38" s="129">
        <f t="shared" ca="1" si="7"/>
        <v>0</v>
      </c>
      <c r="AJ38" s="129">
        <f t="shared" ca="1" si="9"/>
        <v>0</v>
      </c>
      <c r="AK38" s="129">
        <f t="shared" ca="1" si="9"/>
        <v>0</v>
      </c>
      <c r="AL38" s="129">
        <f t="shared" ca="1" si="9"/>
        <v>0</v>
      </c>
      <c r="AM38" s="129">
        <f t="shared" ca="1" si="9"/>
        <v>0</v>
      </c>
      <c r="AN38" s="129">
        <f t="shared" ca="1" si="9"/>
        <v>0</v>
      </c>
      <c r="AQ38"/>
      <c r="AS38" s="63"/>
      <c r="AX38" s="64">
        <v>40499.032749305552</v>
      </c>
      <c r="AY38" s="127">
        <v>35416</v>
      </c>
      <c r="AZ38" s="65">
        <v>40537.032749305552</v>
      </c>
      <c r="BA38" s="64">
        <v>0</v>
      </c>
      <c r="BB38" s="127">
        <v>0</v>
      </c>
      <c r="BC38" s="65">
        <v>0</v>
      </c>
    </row>
    <row r="39" spans="1:55" ht="15.75">
      <c r="A39" s="211"/>
      <c r="B39" s="157"/>
      <c r="C39" s="158"/>
      <c r="D39" s="159"/>
      <c r="E39" s="160"/>
      <c r="F39" s="161"/>
      <c r="G39" s="136">
        <f t="shared" ca="1" si="3"/>
        <v>0</v>
      </c>
      <c r="H39" s="129">
        <f t="shared" ca="1" si="4"/>
        <v>0</v>
      </c>
      <c r="I39" s="130"/>
      <c r="J39" s="129">
        <f t="shared" ca="1" si="8"/>
        <v>0</v>
      </c>
      <c r="K39" s="129">
        <f t="shared" ca="1" si="8"/>
        <v>0</v>
      </c>
      <c r="L39" s="129">
        <f t="shared" ca="1" si="8"/>
        <v>0</v>
      </c>
      <c r="M39" s="129">
        <f t="shared" ca="1" si="8"/>
        <v>0</v>
      </c>
      <c r="N39" s="129">
        <f t="shared" ca="1" si="8"/>
        <v>0</v>
      </c>
      <c r="O39" s="129">
        <f t="shared" ca="1" si="8"/>
        <v>0</v>
      </c>
      <c r="P39" s="129">
        <f t="shared" ca="1" si="8"/>
        <v>0</v>
      </c>
      <c r="Q39" s="129">
        <f t="shared" ca="1" si="8"/>
        <v>0</v>
      </c>
      <c r="R39" s="129">
        <f t="shared" ca="1" si="8"/>
        <v>0</v>
      </c>
      <c r="S39" s="129">
        <f t="shared" ca="1" si="8"/>
        <v>0</v>
      </c>
      <c r="T39" s="129">
        <f t="shared" ca="1" si="7"/>
        <v>0</v>
      </c>
      <c r="U39" s="129">
        <f t="shared" ca="1" si="7"/>
        <v>0</v>
      </c>
      <c r="V39" s="129">
        <f t="shared" ca="1" si="7"/>
        <v>0</v>
      </c>
      <c r="W39" s="129">
        <f t="shared" ca="1" si="7"/>
        <v>0</v>
      </c>
      <c r="X39" s="129">
        <f t="shared" ca="1" si="7"/>
        <v>0</v>
      </c>
      <c r="Y39" s="129">
        <f t="shared" ca="1" si="7"/>
        <v>0</v>
      </c>
      <c r="Z39" s="129">
        <f t="shared" ca="1" si="7"/>
        <v>0</v>
      </c>
      <c r="AA39" s="129">
        <f t="shared" ca="1" si="7"/>
        <v>0</v>
      </c>
      <c r="AB39" s="129">
        <f t="shared" ca="1" si="7"/>
        <v>0</v>
      </c>
      <c r="AC39" s="129">
        <f t="shared" ca="1" si="7"/>
        <v>0</v>
      </c>
      <c r="AD39" s="129">
        <f t="shared" ca="1" si="7"/>
        <v>0</v>
      </c>
      <c r="AE39" s="129">
        <f t="shared" ca="1" si="7"/>
        <v>0</v>
      </c>
      <c r="AF39" s="129">
        <f t="shared" ca="1" si="7"/>
        <v>0</v>
      </c>
      <c r="AG39" s="129">
        <f t="shared" ca="1" si="7"/>
        <v>0</v>
      </c>
      <c r="AH39" s="129">
        <f t="shared" ca="1" si="7"/>
        <v>0</v>
      </c>
      <c r="AI39" s="129">
        <f t="shared" ca="1" si="7"/>
        <v>0</v>
      </c>
      <c r="AJ39" s="129">
        <f t="shared" ca="1" si="9"/>
        <v>0</v>
      </c>
      <c r="AK39" s="129">
        <f t="shared" ca="1" si="9"/>
        <v>0</v>
      </c>
      <c r="AL39" s="129">
        <f t="shared" ca="1" si="9"/>
        <v>0</v>
      </c>
      <c r="AM39" s="129">
        <f t="shared" ca="1" si="9"/>
        <v>0</v>
      </c>
      <c r="AN39" s="129">
        <f t="shared" ca="1" si="9"/>
        <v>0</v>
      </c>
      <c r="AQ39"/>
      <c r="AS39" s="63"/>
      <c r="AX39" s="64">
        <v>40520.032749305552</v>
      </c>
      <c r="AY39" s="127">
        <v>14236</v>
      </c>
      <c r="AZ39" s="65">
        <v>40544.032749305552</v>
      </c>
      <c r="BA39" s="64">
        <v>0</v>
      </c>
      <c r="BB39" s="127">
        <v>0</v>
      </c>
      <c r="BC39" s="65">
        <v>0</v>
      </c>
    </row>
    <row r="40" spans="1:55" ht="15.75" thickBot="1">
      <c r="A40" s="212"/>
      <c r="B40" s="162"/>
      <c r="C40" s="163"/>
      <c r="D40" s="162"/>
      <c r="E40" s="164"/>
      <c r="F40" s="162"/>
      <c r="G40" s="162"/>
      <c r="H40" s="162"/>
      <c r="I40" s="162"/>
      <c r="J40" s="165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Q40"/>
      <c r="AS40" s="63"/>
      <c r="AX40" s="64">
        <v>40508.032749305552</v>
      </c>
      <c r="AY40" s="127">
        <v>8076</v>
      </c>
      <c r="AZ40" s="65">
        <v>40508.032749305552</v>
      </c>
      <c r="BA40" s="64" t="e">
        <v>#REF!</v>
      </c>
      <c r="BB40" s="127" t="e">
        <v>#REF!</v>
      </c>
      <c r="BC40" s="65" t="e">
        <v>#REF!</v>
      </c>
    </row>
    <row r="41" spans="1:55" ht="15">
      <c r="AQ41"/>
      <c r="AS41" s="63"/>
      <c r="AX41" s="64">
        <v>40541.032749305552</v>
      </c>
      <c r="AY41" s="127">
        <v>5026</v>
      </c>
      <c r="AZ41" s="65">
        <v>40558.032749305552</v>
      </c>
      <c r="BA41" s="64" t="e">
        <v>#REF!</v>
      </c>
      <c r="BB41" s="127" t="e">
        <v>#REF!</v>
      </c>
      <c r="BC41" s="65" t="e">
        <v>#REF!</v>
      </c>
    </row>
    <row r="42" spans="1:55" ht="15">
      <c r="AQ42"/>
      <c r="AS42" s="63"/>
      <c r="AX42" s="64">
        <v>40553.032749305552</v>
      </c>
      <c r="AY42" s="127">
        <v>202300.29</v>
      </c>
      <c r="AZ42" s="65">
        <v>40598.032749305552</v>
      </c>
      <c r="BA42" s="64" t="e">
        <v>#REF!</v>
      </c>
      <c r="BB42" s="127" t="e">
        <v>#REF!</v>
      </c>
      <c r="BC42" s="65" t="e">
        <v>#REF!</v>
      </c>
    </row>
    <row r="43" spans="1:55" ht="15">
      <c r="AQ43"/>
      <c r="AS43" s="63"/>
      <c r="AX43" s="64">
        <v>40510.032749305552</v>
      </c>
      <c r="AY43" s="127">
        <v>135000</v>
      </c>
      <c r="AZ43" s="65">
        <v>40518.032749305552</v>
      </c>
      <c r="BA43" s="64" t="e">
        <v>#REF!</v>
      </c>
      <c r="BB43" s="127" t="e">
        <v>#REF!</v>
      </c>
      <c r="BC43" s="65" t="e">
        <v>#REF!</v>
      </c>
    </row>
    <row r="44" spans="1:55" ht="15">
      <c r="AQ44"/>
      <c r="AS44" s="63"/>
      <c r="AX44" s="64">
        <v>40499.032749305552</v>
      </c>
      <c r="AY44" s="127">
        <v>38960</v>
      </c>
      <c r="AZ44" s="65">
        <v>40510.032749305552</v>
      </c>
      <c r="BA44" s="64" t="e">
        <v>#REF!</v>
      </c>
      <c r="BB44" s="127" t="e">
        <v>#REF!</v>
      </c>
      <c r="BC44" s="65" t="e">
        <v>#REF!</v>
      </c>
    </row>
    <row r="45" spans="1:55" ht="15">
      <c r="AQ45"/>
      <c r="AS45" s="63"/>
      <c r="AX45" s="64">
        <v>40556.032749305552</v>
      </c>
      <c r="AY45" s="127">
        <v>96000</v>
      </c>
      <c r="AZ45" s="65">
        <v>40566.032749305552</v>
      </c>
      <c r="BA45" s="64" t="e">
        <v>#REF!</v>
      </c>
      <c r="BB45" s="127" t="e">
        <v>#REF!</v>
      </c>
      <c r="BC45" s="65" t="e">
        <v>#REF!</v>
      </c>
    </row>
    <row r="46" spans="1:55" ht="15.75">
      <c r="AQ46"/>
      <c r="AS46" s="63"/>
      <c r="AX46" s="64">
        <v>40551.032749305552</v>
      </c>
      <c r="AY46" s="131">
        <v>400</v>
      </c>
      <c r="AZ46" s="67">
        <v>40599.032749305552</v>
      </c>
      <c r="BA46" s="64" t="e">
        <v>#REF!</v>
      </c>
      <c r="BB46" s="127" t="e">
        <v>#REF!</v>
      </c>
      <c r="BC46" s="65" t="e">
        <v>#REF!</v>
      </c>
    </row>
    <row r="47" spans="1:55" ht="15.75">
      <c r="AQ47"/>
      <c r="AS47" s="63"/>
      <c r="AX47" s="64">
        <v>0</v>
      </c>
      <c r="AY47" s="131">
        <v>0</v>
      </c>
      <c r="AZ47" s="67">
        <v>0</v>
      </c>
      <c r="BA47" s="64" t="e">
        <v>#REF!</v>
      </c>
      <c r="BB47" s="127" t="e">
        <v>#REF!</v>
      </c>
      <c r="BC47" s="65" t="e">
        <v>#REF!</v>
      </c>
    </row>
    <row r="48" spans="1:55" ht="15.75">
      <c r="AQ48"/>
      <c r="AS48" s="63"/>
      <c r="AX48" s="64">
        <v>0</v>
      </c>
      <c r="AY48" s="131">
        <v>0</v>
      </c>
      <c r="AZ48" s="67">
        <v>0</v>
      </c>
      <c r="BA48" s="64" t="e">
        <v>#REF!</v>
      </c>
      <c r="BB48" s="127" t="e">
        <v>#REF!</v>
      </c>
      <c r="BC48" s="65" t="e">
        <v>#REF!</v>
      </c>
    </row>
    <row r="49" spans="43:55">
      <c r="AQ49" s="63"/>
      <c r="AS49" s="63"/>
      <c r="BA49" s="64" t="e">
        <v>#REF!</v>
      </c>
      <c r="BB49" s="127" t="e">
        <v>#REF!</v>
      </c>
      <c r="BC49" s="65" t="e">
        <v>#REF!</v>
      </c>
    </row>
    <row r="50" spans="43:55">
      <c r="AQ50" s="63"/>
      <c r="AS50" s="63"/>
      <c r="BA50" s="64" t="e">
        <v>#REF!</v>
      </c>
      <c r="BB50" s="127" t="e">
        <v>#REF!</v>
      </c>
      <c r="BC50" s="65" t="e">
        <v>#REF!</v>
      </c>
    </row>
    <row r="51" spans="43:55">
      <c r="AQ51" s="63"/>
      <c r="AS51" s="63"/>
      <c r="AX51" s="70"/>
      <c r="AY51" s="26"/>
      <c r="AZ51" s="71"/>
      <c r="BA51" s="64" t="e">
        <v>#REF!</v>
      </c>
      <c r="BB51" s="127" t="e">
        <v>#REF!</v>
      </c>
      <c r="BC51" s="65" t="e">
        <v>#REF!</v>
      </c>
    </row>
    <row r="52" spans="43:55">
      <c r="AQ52" s="63"/>
      <c r="AS52" s="63"/>
      <c r="AX52" s="70"/>
      <c r="AY52" s="26"/>
      <c r="AZ52" s="71"/>
      <c r="BA52" s="64" t="e">
        <v>#REF!</v>
      </c>
      <c r="BB52" s="127" t="e">
        <v>#REF!</v>
      </c>
      <c r="BC52" s="65" t="e">
        <v>#REF!</v>
      </c>
    </row>
    <row r="53" spans="43:55">
      <c r="AQ53" s="63"/>
      <c r="AS53" s="63"/>
      <c r="AX53" s="70"/>
      <c r="AY53" s="26"/>
      <c r="AZ53" s="71"/>
      <c r="BA53" s="64" t="e">
        <v>#REF!</v>
      </c>
      <c r="BB53" s="127" t="e">
        <v>#REF!</v>
      </c>
      <c r="BC53" s="65" t="e">
        <v>#REF!</v>
      </c>
    </row>
    <row r="54" spans="43:55" ht="13.5" thickBot="1">
      <c r="AQ54" s="63"/>
      <c r="AS54" s="63"/>
      <c r="AX54" s="72"/>
      <c r="AY54" s="73"/>
      <c r="AZ54" s="74"/>
      <c r="BA54" s="64" t="e">
        <v>#REF!</v>
      </c>
      <c r="BB54" s="132" t="e">
        <v>#REF!</v>
      </c>
      <c r="BC54" s="65" t="e">
        <v>#REF!</v>
      </c>
    </row>
    <row r="55" spans="43:55">
      <c r="AQ55" s="63"/>
      <c r="AS55" s="63"/>
      <c r="BA55" s="64"/>
      <c r="BB55" s="132"/>
      <c r="BC55" s="65"/>
    </row>
    <row r="56" spans="43:55">
      <c r="AQ56" s="63"/>
      <c r="AS56" s="63"/>
      <c r="BA56" s="64"/>
      <c r="BB56" s="132"/>
      <c r="BC56" s="65"/>
    </row>
    <row r="57" spans="43:55">
      <c r="AQ57" s="63"/>
      <c r="AS57" s="63"/>
      <c r="BA57" s="64"/>
      <c r="BB57" s="132"/>
      <c r="BC57" s="65"/>
    </row>
    <row r="58" spans="43:55">
      <c r="AQ58" s="63"/>
      <c r="AS58" s="63"/>
      <c r="BA58" s="64"/>
      <c r="BB58" s="132"/>
      <c r="BC58" s="65"/>
    </row>
    <row r="59" spans="43:55">
      <c r="AQ59" s="63"/>
      <c r="AS59" s="63"/>
      <c r="BA59" s="64"/>
      <c r="BB59" s="132"/>
      <c r="BC59" s="65"/>
    </row>
    <row r="60" spans="43:55">
      <c r="AQ60" s="63"/>
      <c r="AS60" s="63"/>
    </row>
    <row r="61" spans="43:55">
      <c r="AQ61" s="63"/>
      <c r="AS61" s="63"/>
    </row>
    <row r="62" spans="43:55">
      <c r="AQ62" s="63"/>
      <c r="AS62" s="63"/>
    </row>
    <row r="63" spans="43:55">
      <c r="AQ63" s="63"/>
      <c r="AS63" s="63"/>
    </row>
    <row r="64" spans="43:55">
      <c r="AQ64" s="63"/>
      <c r="AS64" s="63"/>
    </row>
    <row r="65" spans="43:45">
      <c r="AQ65" s="63"/>
      <c r="AS65" s="63"/>
    </row>
    <row r="66" spans="43:45">
      <c r="AQ66" s="63"/>
      <c r="AS66" s="63"/>
    </row>
    <row r="67" spans="43:45">
      <c r="AQ67" s="63"/>
      <c r="AS67" s="63"/>
    </row>
    <row r="68" spans="43:45">
      <c r="AQ68" s="63"/>
      <c r="AS68" s="63"/>
    </row>
    <row r="69" spans="43:45">
      <c r="AQ69" s="63"/>
      <c r="AS69" s="63"/>
    </row>
    <row r="70" spans="43:45">
      <c r="AQ70" s="63"/>
      <c r="AS70" s="63"/>
    </row>
    <row r="71" spans="43:45">
      <c r="AQ71" s="63"/>
      <c r="AS71" s="63"/>
    </row>
    <row r="72" spans="43:45">
      <c r="AQ72" s="63"/>
      <c r="AS72" s="63"/>
    </row>
    <row r="73" spans="43:45">
      <c r="AQ73" s="63"/>
      <c r="AS73" s="63"/>
    </row>
    <row r="74" spans="43:45">
      <c r="AQ74" s="63"/>
      <c r="AS74" s="63"/>
    </row>
    <row r="75" spans="43:45">
      <c r="AQ75" s="63"/>
      <c r="AS75" s="63"/>
    </row>
    <row r="76" spans="43:45">
      <c r="AQ76" s="63"/>
      <c r="AS76" s="63"/>
    </row>
    <row r="77" spans="43:45">
      <c r="AQ77" s="63"/>
      <c r="AS77" s="63"/>
    </row>
    <row r="78" spans="43:45">
      <c r="AQ78" s="63"/>
      <c r="AS78" s="63"/>
    </row>
    <row r="79" spans="43:45">
      <c r="AQ79" s="63"/>
      <c r="AS79" s="63"/>
    </row>
    <row r="80" spans="43:45">
      <c r="AQ80" s="63"/>
      <c r="AS80" s="63"/>
    </row>
    <row r="81" spans="43:45">
      <c r="AQ81" s="63"/>
      <c r="AS81" s="63"/>
    </row>
    <row r="82" spans="43:45">
      <c r="AQ82" s="63"/>
      <c r="AS82" s="63"/>
    </row>
    <row r="83" spans="43:45">
      <c r="AQ83" s="63"/>
      <c r="AS83" s="63"/>
    </row>
    <row r="84" spans="43:45">
      <c r="AQ84" s="63"/>
      <c r="AS84" s="63"/>
    </row>
    <row r="85" spans="43:45">
      <c r="AQ85" s="63"/>
      <c r="AS85" s="63"/>
    </row>
    <row r="86" spans="43:45">
      <c r="AQ86" s="63"/>
      <c r="AS86" s="63"/>
    </row>
    <row r="87" spans="43:45">
      <c r="AQ87" s="63"/>
      <c r="AS87" s="63"/>
    </row>
    <row r="88" spans="43:45">
      <c r="AQ88" s="63"/>
      <c r="AS88" s="63"/>
    </row>
    <row r="89" spans="43:45">
      <c r="AQ89" s="63"/>
      <c r="AS89" s="63"/>
    </row>
    <row r="90" spans="43:45">
      <c r="AQ90" s="63"/>
      <c r="AS90" s="63"/>
    </row>
    <row r="91" spans="43:45">
      <c r="AQ91" s="63"/>
      <c r="AS91" s="63"/>
    </row>
    <row r="92" spans="43:45">
      <c r="AQ92" s="63"/>
      <c r="AS92" s="63"/>
    </row>
    <row r="93" spans="43:45">
      <c r="AQ93" s="63"/>
      <c r="AS93" s="63"/>
    </row>
    <row r="94" spans="43:45">
      <c r="AQ94" s="63"/>
      <c r="AS94" s="63"/>
    </row>
    <row r="95" spans="43:45">
      <c r="AQ95" s="63"/>
      <c r="AS95" s="63"/>
    </row>
    <row r="96" spans="43:45">
      <c r="AQ96" s="63"/>
      <c r="AS96" s="63"/>
    </row>
    <row r="97" spans="43:45">
      <c r="AQ97" s="63"/>
      <c r="AS97" s="63"/>
    </row>
    <row r="98" spans="43:45">
      <c r="AQ98" s="63"/>
      <c r="AS98" s="63"/>
    </row>
    <row r="118" spans="4:4">
      <c r="D118" s="13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B544"/>
  <sheetViews>
    <sheetView workbookViewId="0">
      <selection activeCell="B1" sqref="B1"/>
    </sheetView>
  </sheetViews>
  <sheetFormatPr defaultRowHeight="15"/>
  <cols>
    <col min="2" max="2" width="80.42578125" customWidth="1"/>
  </cols>
  <sheetData>
    <row r="1" spans="1:2">
      <c r="A1" s="182"/>
      <c r="B1" s="183">
        <v>51</v>
      </c>
    </row>
    <row r="2" spans="1:2" ht="18">
      <c r="A2" s="184" t="s">
        <v>233</v>
      </c>
      <c r="B2" s="185" t="s">
        <v>790</v>
      </c>
    </row>
    <row r="3" spans="1:2" ht="18">
      <c r="A3" s="185" t="s">
        <v>234</v>
      </c>
      <c r="B3" s="185" t="s">
        <v>791</v>
      </c>
    </row>
    <row r="4" spans="1:2" ht="18">
      <c r="A4" s="185" t="s">
        <v>235</v>
      </c>
      <c r="B4" s="185" t="s">
        <v>792</v>
      </c>
    </row>
    <row r="5" spans="1:2" ht="18">
      <c r="A5" s="185" t="s">
        <v>236</v>
      </c>
      <c r="B5" s="185" t="s">
        <v>793</v>
      </c>
    </row>
    <row r="6" spans="1:2" ht="18">
      <c r="A6" s="185" t="s">
        <v>237</v>
      </c>
      <c r="B6" s="185" t="s">
        <v>238</v>
      </c>
    </row>
    <row r="7" spans="1:2" ht="18">
      <c r="A7" s="185" t="s">
        <v>239</v>
      </c>
      <c r="B7" s="185" t="s">
        <v>794</v>
      </c>
    </row>
    <row r="8" spans="1:2" ht="18">
      <c r="A8" s="185" t="s">
        <v>240</v>
      </c>
      <c r="B8" s="185" t="s">
        <v>795</v>
      </c>
    </row>
    <row r="9" spans="1:2" ht="18">
      <c r="A9" s="185" t="s">
        <v>796</v>
      </c>
      <c r="B9" s="185" t="s">
        <v>797</v>
      </c>
    </row>
    <row r="10" spans="1:2" ht="18">
      <c r="A10" s="185" t="s">
        <v>241</v>
      </c>
      <c r="B10" s="185" t="s">
        <v>798</v>
      </c>
    </row>
    <row r="11" spans="1:2" ht="18">
      <c r="A11" s="185" t="s">
        <v>242</v>
      </c>
      <c r="B11" s="185" t="s">
        <v>799</v>
      </c>
    </row>
    <row r="12" spans="1:2" ht="18">
      <c r="A12" s="185" t="s">
        <v>243</v>
      </c>
      <c r="B12" s="185" t="s">
        <v>800</v>
      </c>
    </row>
    <row r="13" spans="1:2" ht="18">
      <c r="A13" s="185" t="s">
        <v>801</v>
      </c>
      <c r="B13" s="185" t="s">
        <v>802</v>
      </c>
    </row>
    <row r="14" spans="1:2" ht="18">
      <c r="A14" s="185" t="s">
        <v>63</v>
      </c>
      <c r="B14" s="185" t="s">
        <v>803</v>
      </c>
    </row>
    <row r="15" spans="1:2" ht="18">
      <c r="A15" s="185" t="s">
        <v>244</v>
      </c>
      <c r="B15" s="185" t="s">
        <v>804</v>
      </c>
    </row>
    <row r="16" spans="1:2" ht="18">
      <c r="A16" s="185" t="s">
        <v>245</v>
      </c>
      <c r="B16" s="185" t="s">
        <v>805</v>
      </c>
    </row>
    <row r="17" spans="1:2" ht="18">
      <c r="A17" s="185" t="s">
        <v>246</v>
      </c>
      <c r="B17" s="185" t="s">
        <v>247</v>
      </c>
    </row>
    <row r="18" spans="1:2" ht="18">
      <c r="A18" s="185" t="s">
        <v>64</v>
      </c>
      <c r="B18" s="185" t="s">
        <v>65</v>
      </c>
    </row>
    <row r="19" spans="1:2" ht="18">
      <c r="A19" s="185" t="s">
        <v>248</v>
      </c>
      <c r="B19" s="185" t="s">
        <v>249</v>
      </c>
    </row>
    <row r="20" spans="1:2" ht="18">
      <c r="A20" s="185" t="s">
        <v>250</v>
      </c>
      <c r="B20" s="185" t="s">
        <v>253</v>
      </c>
    </row>
    <row r="21" spans="1:2" ht="18">
      <c r="A21" s="185" t="s">
        <v>252</v>
      </c>
      <c r="B21" s="185" t="s">
        <v>806</v>
      </c>
    </row>
    <row r="22" spans="1:2" ht="18">
      <c r="A22" s="185" t="s">
        <v>254</v>
      </c>
      <c r="B22" s="185" t="s">
        <v>257</v>
      </c>
    </row>
    <row r="23" spans="1:2" ht="18">
      <c r="A23" s="185" t="s">
        <v>255</v>
      </c>
      <c r="B23" s="185" t="s">
        <v>807</v>
      </c>
    </row>
    <row r="24" spans="1:2" ht="18">
      <c r="A24" s="185" t="s">
        <v>256</v>
      </c>
      <c r="B24" s="185" t="s">
        <v>808</v>
      </c>
    </row>
    <row r="25" spans="1:2" ht="18">
      <c r="A25" s="185" t="s">
        <v>258</v>
      </c>
      <c r="B25" s="185" t="s">
        <v>809</v>
      </c>
    </row>
    <row r="26" spans="1:2" ht="18">
      <c r="A26" s="185" t="s">
        <v>259</v>
      </c>
      <c r="B26" s="185" t="s">
        <v>810</v>
      </c>
    </row>
    <row r="27" spans="1:2" ht="18">
      <c r="A27" s="185" t="s">
        <v>261</v>
      </c>
      <c r="B27" s="185" t="s">
        <v>811</v>
      </c>
    </row>
    <row r="28" spans="1:2" ht="18">
      <c r="A28" s="185" t="s">
        <v>262</v>
      </c>
      <c r="B28" s="185" t="s">
        <v>251</v>
      </c>
    </row>
    <row r="29" spans="1:2" ht="18">
      <c r="A29" s="185" t="s">
        <v>264</v>
      </c>
      <c r="B29" s="185" t="s">
        <v>812</v>
      </c>
    </row>
    <row r="30" spans="1:2" ht="18">
      <c r="A30" s="185" t="s">
        <v>265</v>
      </c>
      <c r="B30" s="185" t="s">
        <v>813</v>
      </c>
    </row>
    <row r="31" spans="1:2" ht="18">
      <c r="A31" s="185" t="s">
        <v>266</v>
      </c>
      <c r="B31" s="185" t="s">
        <v>814</v>
      </c>
    </row>
    <row r="32" spans="1:2" ht="18">
      <c r="A32" s="185" t="s">
        <v>815</v>
      </c>
      <c r="B32" s="185" t="s">
        <v>816</v>
      </c>
    </row>
    <row r="33" spans="1:2" ht="18">
      <c r="A33" s="185" t="s">
        <v>817</v>
      </c>
      <c r="B33" s="185" t="s">
        <v>260</v>
      </c>
    </row>
    <row r="34" spans="1:2" ht="18">
      <c r="A34" s="185" t="s">
        <v>818</v>
      </c>
      <c r="B34" s="185" t="s">
        <v>819</v>
      </c>
    </row>
    <row r="35" spans="1:2" ht="18">
      <c r="A35" s="185" t="s">
        <v>820</v>
      </c>
      <c r="B35" s="185" t="s">
        <v>821</v>
      </c>
    </row>
    <row r="36" spans="1:2" ht="18">
      <c r="A36" s="185" t="s">
        <v>822</v>
      </c>
      <c r="B36" s="185" t="s">
        <v>823</v>
      </c>
    </row>
    <row r="37" spans="1:2" ht="18">
      <c r="A37" s="185" t="s">
        <v>824</v>
      </c>
      <c r="B37" s="185" t="s">
        <v>825</v>
      </c>
    </row>
    <row r="38" spans="1:2" ht="18">
      <c r="A38" s="185" t="s">
        <v>826</v>
      </c>
      <c r="B38" s="185" t="s">
        <v>827</v>
      </c>
    </row>
    <row r="39" spans="1:2" ht="18">
      <c r="A39" s="185" t="s">
        <v>828</v>
      </c>
      <c r="B39" s="185" t="s">
        <v>263</v>
      </c>
    </row>
    <row r="40" spans="1:2" ht="18">
      <c r="A40" s="185" t="s">
        <v>829</v>
      </c>
      <c r="B40" s="185" t="s">
        <v>830</v>
      </c>
    </row>
    <row r="41" spans="1:2" ht="18">
      <c r="A41" s="185" t="s">
        <v>831</v>
      </c>
      <c r="B41" s="185" t="s">
        <v>832</v>
      </c>
    </row>
    <row r="42" spans="1:2" ht="18">
      <c r="A42" s="185" t="s">
        <v>833</v>
      </c>
      <c r="B42" s="185" t="s">
        <v>267</v>
      </c>
    </row>
    <row r="43" spans="1:2" ht="18">
      <c r="A43" s="185" t="s">
        <v>834</v>
      </c>
      <c r="B43" s="185" t="s">
        <v>835</v>
      </c>
    </row>
    <row r="44" spans="1:2" ht="18">
      <c r="A44" s="185" t="s">
        <v>836</v>
      </c>
      <c r="B44" s="185" t="s">
        <v>837</v>
      </c>
    </row>
    <row r="45" spans="1:2" ht="18">
      <c r="A45" s="185" t="s">
        <v>838</v>
      </c>
      <c r="B45" s="185" t="s">
        <v>839</v>
      </c>
    </row>
    <row r="46" spans="1:2" ht="18">
      <c r="A46" s="185" t="s">
        <v>840</v>
      </c>
      <c r="B46" s="185" t="s">
        <v>841</v>
      </c>
    </row>
    <row r="47" spans="1:2" ht="18">
      <c r="A47" s="185" t="s">
        <v>842</v>
      </c>
      <c r="B47" s="185" t="s">
        <v>843</v>
      </c>
    </row>
    <row r="48" spans="1:2" ht="18">
      <c r="A48" s="185" t="s">
        <v>844</v>
      </c>
      <c r="B48" s="185" t="s">
        <v>845</v>
      </c>
    </row>
    <row r="49" spans="1:2" ht="18">
      <c r="A49" s="185" t="s">
        <v>846</v>
      </c>
      <c r="B49" s="185" t="s">
        <v>847</v>
      </c>
    </row>
    <row r="50" spans="1:2" ht="18">
      <c r="A50" s="185" t="s">
        <v>848</v>
      </c>
      <c r="B50" s="185" t="s">
        <v>849</v>
      </c>
    </row>
    <row r="51" spans="1:2" ht="18">
      <c r="A51" s="185" t="s">
        <v>850</v>
      </c>
      <c r="B51" s="185" t="s">
        <v>851</v>
      </c>
    </row>
    <row r="52" spans="1:2">
      <c r="A52" s="3"/>
      <c r="B52" s="3"/>
    </row>
    <row r="53" spans="1:2">
      <c r="A53" s="3"/>
      <c r="B53" s="3"/>
    </row>
    <row r="54" spans="1:2">
      <c r="A54" s="3"/>
      <c r="B54" s="3"/>
    </row>
    <row r="55" spans="1:2">
      <c r="A55" s="186"/>
      <c r="B55" s="183">
        <v>43</v>
      </c>
    </row>
    <row r="56" spans="1:2" ht="18">
      <c r="A56" s="187" t="s">
        <v>66</v>
      </c>
      <c r="B56" s="185" t="s">
        <v>852</v>
      </c>
    </row>
    <row r="57" spans="1:2" ht="18">
      <c r="A57" s="185" t="s">
        <v>268</v>
      </c>
      <c r="B57" s="185" t="s">
        <v>853</v>
      </c>
    </row>
    <row r="58" spans="1:2" ht="18">
      <c r="A58" s="185" t="s">
        <v>67</v>
      </c>
      <c r="B58" s="185" t="s">
        <v>68</v>
      </c>
    </row>
    <row r="59" spans="1:2" ht="18">
      <c r="A59" s="185" t="s">
        <v>269</v>
      </c>
      <c r="B59" s="185" t="s">
        <v>270</v>
      </c>
    </row>
    <row r="60" spans="1:2" ht="18">
      <c r="A60" s="185" t="s">
        <v>69</v>
      </c>
      <c r="B60" s="185" t="s">
        <v>854</v>
      </c>
    </row>
    <row r="61" spans="1:2" ht="18">
      <c r="A61" s="185" t="s">
        <v>855</v>
      </c>
      <c r="B61" s="185" t="s">
        <v>856</v>
      </c>
    </row>
    <row r="62" spans="1:2" ht="18">
      <c r="A62" s="185" t="s">
        <v>271</v>
      </c>
      <c r="B62" s="185" t="s">
        <v>857</v>
      </c>
    </row>
    <row r="63" spans="1:2" ht="18">
      <c r="A63" s="185" t="s">
        <v>70</v>
      </c>
      <c r="B63" s="185" t="s">
        <v>858</v>
      </c>
    </row>
    <row r="64" spans="1:2" ht="18">
      <c r="A64" s="185" t="s">
        <v>71</v>
      </c>
      <c r="B64" s="185" t="s">
        <v>72</v>
      </c>
    </row>
    <row r="65" spans="1:2" ht="18">
      <c r="A65" s="185" t="s">
        <v>272</v>
      </c>
      <c r="B65" s="185" t="s">
        <v>273</v>
      </c>
    </row>
    <row r="66" spans="1:2" ht="18">
      <c r="A66" s="185" t="s">
        <v>859</v>
      </c>
      <c r="B66" s="185" t="s">
        <v>860</v>
      </c>
    </row>
    <row r="67" spans="1:2" ht="18">
      <c r="A67" s="185" t="s">
        <v>73</v>
      </c>
      <c r="B67" s="185" t="s">
        <v>74</v>
      </c>
    </row>
    <row r="68" spans="1:2" ht="18">
      <c r="A68" s="185" t="s">
        <v>75</v>
      </c>
      <c r="B68" s="185" t="s">
        <v>861</v>
      </c>
    </row>
    <row r="69" spans="1:2" ht="18">
      <c r="A69" s="185" t="s">
        <v>862</v>
      </c>
      <c r="B69" s="185" t="s">
        <v>863</v>
      </c>
    </row>
    <row r="70" spans="1:2" ht="18">
      <c r="A70" s="185" t="s">
        <v>76</v>
      </c>
      <c r="B70" s="185" t="s">
        <v>864</v>
      </c>
    </row>
    <row r="71" spans="1:2" ht="18">
      <c r="A71" s="185" t="s">
        <v>274</v>
      </c>
      <c r="B71" s="185" t="s">
        <v>275</v>
      </c>
    </row>
    <row r="72" spans="1:2" ht="18">
      <c r="A72" s="185" t="s">
        <v>276</v>
      </c>
      <c r="B72" s="185" t="s">
        <v>277</v>
      </c>
    </row>
    <row r="73" spans="1:2" ht="18">
      <c r="A73" s="185" t="s">
        <v>77</v>
      </c>
      <c r="B73" s="185" t="s">
        <v>78</v>
      </c>
    </row>
    <row r="74" spans="1:2" ht="18">
      <c r="A74" s="185" t="s">
        <v>278</v>
      </c>
      <c r="B74" s="185" t="s">
        <v>865</v>
      </c>
    </row>
    <row r="75" spans="1:2" ht="18">
      <c r="A75" s="185" t="s">
        <v>279</v>
      </c>
      <c r="B75" s="185" t="s">
        <v>280</v>
      </c>
    </row>
    <row r="76" spans="1:2" ht="18">
      <c r="A76" s="185" t="s">
        <v>281</v>
      </c>
      <c r="B76" s="185" t="s">
        <v>282</v>
      </c>
    </row>
    <row r="77" spans="1:2" ht="18">
      <c r="A77" s="185" t="s">
        <v>283</v>
      </c>
      <c r="B77" s="185" t="s">
        <v>284</v>
      </c>
    </row>
    <row r="78" spans="1:2" ht="18">
      <c r="A78" s="185" t="s">
        <v>285</v>
      </c>
      <c r="B78" s="185" t="s">
        <v>286</v>
      </c>
    </row>
    <row r="79" spans="1:2" ht="18">
      <c r="A79" s="185" t="s">
        <v>287</v>
      </c>
      <c r="B79" s="185" t="s">
        <v>288</v>
      </c>
    </row>
    <row r="80" spans="1:2" ht="18">
      <c r="A80" s="185" t="s">
        <v>289</v>
      </c>
      <c r="B80" s="185" t="s">
        <v>290</v>
      </c>
    </row>
    <row r="81" spans="1:2" ht="18">
      <c r="A81" s="185" t="s">
        <v>291</v>
      </c>
      <c r="B81" s="185" t="s">
        <v>292</v>
      </c>
    </row>
    <row r="82" spans="1:2" ht="18">
      <c r="A82" s="185" t="s">
        <v>293</v>
      </c>
      <c r="B82" s="185" t="s">
        <v>294</v>
      </c>
    </row>
    <row r="83" spans="1:2" ht="18">
      <c r="A83" s="185" t="s">
        <v>295</v>
      </c>
      <c r="B83" s="185" t="s">
        <v>296</v>
      </c>
    </row>
    <row r="84" spans="1:2" ht="18">
      <c r="A84" s="185" t="s">
        <v>297</v>
      </c>
      <c r="B84" s="185" t="s">
        <v>298</v>
      </c>
    </row>
    <row r="85" spans="1:2" ht="18">
      <c r="A85" s="185" t="s">
        <v>299</v>
      </c>
      <c r="B85" s="185" t="s">
        <v>300</v>
      </c>
    </row>
    <row r="86" spans="1:2" ht="18">
      <c r="A86" s="185" t="s">
        <v>301</v>
      </c>
      <c r="B86" s="185" t="s">
        <v>302</v>
      </c>
    </row>
    <row r="87" spans="1:2" ht="18">
      <c r="A87" s="185" t="s">
        <v>303</v>
      </c>
      <c r="B87" s="185" t="s">
        <v>304</v>
      </c>
    </row>
    <row r="88" spans="1:2" ht="18">
      <c r="A88" s="185" t="s">
        <v>305</v>
      </c>
      <c r="B88" s="185" t="s">
        <v>306</v>
      </c>
    </row>
    <row r="89" spans="1:2" ht="18">
      <c r="A89" s="185" t="s">
        <v>307</v>
      </c>
      <c r="B89" s="185" t="s">
        <v>866</v>
      </c>
    </row>
    <row r="90" spans="1:2" ht="18">
      <c r="A90" s="185" t="s">
        <v>79</v>
      </c>
      <c r="B90" s="185" t="s">
        <v>867</v>
      </c>
    </row>
    <row r="91" spans="1:2" ht="18">
      <c r="A91" s="185" t="s">
        <v>80</v>
      </c>
      <c r="B91" s="185" t="s">
        <v>868</v>
      </c>
    </row>
    <row r="92" spans="1:2" ht="18">
      <c r="A92" s="185" t="s">
        <v>869</v>
      </c>
      <c r="B92" s="185" t="s">
        <v>870</v>
      </c>
    </row>
    <row r="93" spans="1:2" ht="18">
      <c r="A93" s="185" t="s">
        <v>871</v>
      </c>
      <c r="B93" s="185" t="s">
        <v>872</v>
      </c>
    </row>
    <row r="94" spans="1:2" ht="18">
      <c r="A94" s="185" t="s">
        <v>873</v>
      </c>
      <c r="B94" s="185" t="s">
        <v>874</v>
      </c>
    </row>
    <row r="95" spans="1:2" ht="18">
      <c r="A95" s="185" t="s">
        <v>875</v>
      </c>
      <c r="B95" s="185" t="s">
        <v>876</v>
      </c>
    </row>
    <row r="96" spans="1:2" ht="18">
      <c r="A96" s="185" t="s">
        <v>877</v>
      </c>
      <c r="B96" s="185" t="s">
        <v>878</v>
      </c>
    </row>
    <row r="97" spans="1:2" ht="18">
      <c r="A97" s="185" t="s">
        <v>308</v>
      </c>
      <c r="B97" s="185" t="s">
        <v>879</v>
      </c>
    </row>
    <row r="98" spans="1:2">
      <c r="A98" s="3"/>
      <c r="B98" s="3"/>
    </row>
    <row r="99" spans="1:2">
      <c r="A99" s="3"/>
      <c r="B99" s="3"/>
    </row>
    <row r="100" spans="1:2">
      <c r="A100" s="186"/>
      <c r="B100" s="183">
        <v>65</v>
      </c>
    </row>
    <row r="101" spans="1:2" ht="18">
      <c r="A101" s="187" t="s">
        <v>81</v>
      </c>
      <c r="B101" s="185" t="s">
        <v>880</v>
      </c>
    </row>
    <row r="102" spans="1:2" ht="18">
      <c r="A102" s="185" t="s">
        <v>309</v>
      </c>
      <c r="B102" s="185" t="s">
        <v>881</v>
      </c>
    </row>
    <row r="103" spans="1:2" ht="18">
      <c r="A103" s="185" t="s">
        <v>310</v>
      </c>
      <c r="B103" s="185" t="s">
        <v>882</v>
      </c>
    </row>
    <row r="104" spans="1:2" ht="18">
      <c r="A104" s="185" t="s">
        <v>82</v>
      </c>
      <c r="B104" s="185" t="s">
        <v>883</v>
      </c>
    </row>
    <row r="105" spans="1:2" ht="18">
      <c r="A105" s="185" t="s">
        <v>84</v>
      </c>
      <c r="B105" s="185" t="s">
        <v>884</v>
      </c>
    </row>
    <row r="106" spans="1:2" ht="18">
      <c r="A106" s="185" t="s">
        <v>885</v>
      </c>
      <c r="B106" s="185" t="s">
        <v>83</v>
      </c>
    </row>
    <row r="107" spans="1:2" ht="18">
      <c r="A107" s="185" t="s">
        <v>886</v>
      </c>
      <c r="B107" s="185" t="s">
        <v>85</v>
      </c>
    </row>
    <row r="108" spans="1:2" ht="18">
      <c r="A108" s="185" t="s">
        <v>887</v>
      </c>
      <c r="B108" s="185" t="s">
        <v>888</v>
      </c>
    </row>
    <row r="109" spans="1:2" ht="18">
      <c r="A109" s="185" t="s">
        <v>311</v>
      </c>
      <c r="B109" s="185" t="s">
        <v>889</v>
      </c>
    </row>
    <row r="110" spans="1:2" ht="18">
      <c r="A110" s="185" t="s">
        <v>312</v>
      </c>
      <c r="B110" s="185" t="s">
        <v>890</v>
      </c>
    </row>
    <row r="111" spans="1:2" ht="18">
      <c r="A111" s="185" t="s">
        <v>313</v>
      </c>
      <c r="B111" s="185" t="s">
        <v>314</v>
      </c>
    </row>
    <row r="112" spans="1:2" ht="18">
      <c r="A112" s="185" t="s">
        <v>315</v>
      </c>
      <c r="B112" s="185" t="s">
        <v>891</v>
      </c>
    </row>
    <row r="113" spans="1:2" ht="18">
      <c r="A113" s="185" t="s">
        <v>316</v>
      </c>
      <c r="B113" s="185" t="s">
        <v>892</v>
      </c>
    </row>
    <row r="114" spans="1:2" ht="18">
      <c r="A114" s="185" t="s">
        <v>317</v>
      </c>
      <c r="B114" s="185" t="s">
        <v>318</v>
      </c>
    </row>
    <row r="115" spans="1:2" ht="18">
      <c r="A115" s="185" t="s">
        <v>319</v>
      </c>
      <c r="B115" s="185" t="s">
        <v>320</v>
      </c>
    </row>
    <row r="116" spans="1:2" ht="18">
      <c r="A116" s="185" t="s">
        <v>86</v>
      </c>
      <c r="B116" s="185" t="s">
        <v>893</v>
      </c>
    </row>
    <row r="117" spans="1:2" ht="18">
      <c r="A117" s="185" t="s">
        <v>321</v>
      </c>
      <c r="B117" s="185" t="s">
        <v>322</v>
      </c>
    </row>
    <row r="118" spans="1:2" ht="18">
      <c r="A118" s="185" t="s">
        <v>323</v>
      </c>
      <c r="B118" s="185" t="s">
        <v>324</v>
      </c>
    </row>
    <row r="119" spans="1:2" ht="18">
      <c r="A119" s="185" t="s">
        <v>325</v>
      </c>
      <c r="B119" s="185" t="s">
        <v>326</v>
      </c>
    </row>
    <row r="120" spans="1:2" ht="18">
      <c r="A120" s="185" t="s">
        <v>87</v>
      </c>
      <c r="B120" s="185" t="s">
        <v>894</v>
      </c>
    </row>
    <row r="121" spans="1:2" ht="18">
      <c r="A121" s="185" t="s">
        <v>327</v>
      </c>
      <c r="B121" s="185" t="s">
        <v>328</v>
      </c>
    </row>
    <row r="122" spans="1:2" ht="18">
      <c r="A122" s="185" t="s">
        <v>895</v>
      </c>
      <c r="B122" s="185" t="s">
        <v>896</v>
      </c>
    </row>
    <row r="123" spans="1:2" ht="18">
      <c r="A123" s="185" t="s">
        <v>897</v>
      </c>
      <c r="B123" s="185" t="s">
        <v>898</v>
      </c>
    </row>
    <row r="124" spans="1:2" ht="18">
      <c r="A124" s="185" t="s">
        <v>88</v>
      </c>
      <c r="B124" s="185" t="s">
        <v>899</v>
      </c>
    </row>
    <row r="125" spans="1:2" ht="18">
      <c r="A125" s="185" t="s">
        <v>329</v>
      </c>
      <c r="B125" s="185" t="s">
        <v>330</v>
      </c>
    </row>
    <row r="126" spans="1:2" ht="18">
      <c r="A126" s="185" t="s">
        <v>331</v>
      </c>
      <c r="B126" s="185" t="s">
        <v>900</v>
      </c>
    </row>
    <row r="127" spans="1:2" ht="18">
      <c r="A127" s="185" t="s">
        <v>332</v>
      </c>
      <c r="B127" s="185" t="s">
        <v>901</v>
      </c>
    </row>
    <row r="128" spans="1:2" ht="18">
      <c r="A128" s="185" t="s">
        <v>333</v>
      </c>
      <c r="B128" s="185" t="s">
        <v>902</v>
      </c>
    </row>
    <row r="129" spans="1:2" ht="18">
      <c r="A129" s="185" t="s">
        <v>334</v>
      </c>
      <c r="B129" s="185" t="s">
        <v>903</v>
      </c>
    </row>
    <row r="130" spans="1:2" ht="18">
      <c r="A130" s="185" t="s">
        <v>335</v>
      </c>
      <c r="B130" s="185" t="s">
        <v>904</v>
      </c>
    </row>
    <row r="131" spans="1:2" ht="18">
      <c r="A131" s="185" t="s">
        <v>336</v>
      </c>
      <c r="B131" s="185" t="s">
        <v>905</v>
      </c>
    </row>
    <row r="132" spans="1:2" ht="18">
      <c r="A132" s="185" t="s">
        <v>337</v>
      </c>
      <c r="B132" s="185" t="s">
        <v>906</v>
      </c>
    </row>
    <row r="133" spans="1:2" ht="18">
      <c r="A133" s="185" t="s">
        <v>338</v>
      </c>
      <c r="B133" s="185" t="s">
        <v>907</v>
      </c>
    </row>
    <row r="134" spans="1:2" ht="18">
      <c r="A134" s="185" t="s">
        <v>339</v>
      </c>
      <c r="B134" s="185" t="s">
        <v>908</v>
      </c>
    </row>
    <row r="135" spans="1:2" ht="18">
      <c r="A135" s="185" t="s">
        <v>340</v>
      </c>
      <c r="B135" s="185" t="s">
        <v>341</v>
      </c>
    </row>
    <row r="136" spans="1:2" ht="18">
      <c r="A136" s="185" t="s">
        <v>342</v>
      </c>
      <c r="B136" s="185" t="s">
        <v>343</v>
      </c>
    </row>
    <row r="137" spans="1:2" ht="18">
      <c r="A137" s="185" t="s">
        <v>89</v>
      </c>
      <c r="B137" s="185" t="s">
        <v>909</v>
      </c>
    </row>
    <row r="138" spans="1:2" ht="18">
      <c r="A138" s="185" t="s">
        <v>344</v>
      </c>
      <c r="B138" s="185" t="s">
        <v>910</v>
      </c>
    </row>
    <row r="139" spans="1:2" ht="18">
      <c r="A139" s="185" t="s">
        <v>90</v>
      </c>
      <c r="B139" s="185" t="s">
        <v>91</v>
      </c>
    </row>
    <row r="140" spans="1:2" ht="18">
      <c r="A140" s="185" t="s">
        <v>345</v>
      </c>
      <c r="B140" s="185" t="s">
        <v>346</v>
      </c>
    </row>
    <row r="141" spans="1:2" ht="18">
      <c r="A141" s="185" t="s">
        <v>92</v>
      </c>
      <c r="B141" s="185" t="s">
        <v>93</v>
      </c>
    </row>
    <row r="142" spans="1:2" ht="18">
      <c r="A142" s="185" t="s">
        <v>94</v>
      </c>
      <c r="B142" s="185" t="s">
        <v>95</v>
      </c>
    </row>
    <row r="143" spans="1:2" ht="18">
      <c r="A143" s="185" t="s">
        <v>347</v>
      </c>
      <c r="B143" s="185" t="s">
        <v>348</v>
      </c>
    </row>
    <row r="144" spans="1:2" ht="18">
      <c r="A144" s="185" t="s">
        <v>349</v>
      </c>
      <c r="B144" s="185" t="s">
        <v>350</v>
      </c>
    </row>
    <row r="145" spans="1:2" ht="18">
      <c r="A145" s="185" t="s">
        <v>351</v>
      </c>
      <c r="B145" s="185" t="s">
        <v>352</v>
      </c>
    </row>
    <row r="146" spans="1:2" ht="18">
      <c r="A146" s="185" t="s">
        <v>353</v>
      </c>
      <c r="B146" s="185" t="s">
        <v>354</v>
      </c>
    </row>
    <row r="147" spans="1:2" ht="18">
      <c r="A147" s="185" t="s">
        <v>355</v>
      </c>
      <c r="B147" s="185" t="s">
        <v>911</v>
      </c>
    </row>
    <row r="148" spans="1:2" ht="18">
      <c r="A148" s="185" t="s">
        <v>356</v>
      </c>
      <c r="B148" s="185" t="s">
        <v>357</v>
      </c>
    </row>
    <row r="149" spans="1:2" ht="18">
      <c r="A149" s="185" t="s">
        <v>358</v>
      </c>
      <c r="B149" s="185" t="s">
        <v>359</v>
      </c>
    </row>
    <row r="150" spans="1:2" ht="18">
      <c r="A150" s="185" t="s">
        <v>360</v>
      </c>
      <c r="B150" s="185" t="s">
        <v>361</v>
      </c>
    </row>
    <row r="151" spans="1:2" ht="18">
      <c r="A151" s="185" t="s">
        <v>362</v>
      </c>
      <c r="B151" s="185" t="s">
        <v>363</v>
      </c>
    </row>
    <row r="152" spans="1:2" ht="18">
      <c r="A152" s="185" t="s">
        <v>364</v>
      </c>
      <c r="B152" s="185" t="s">
        <v>365</v>
      </c>
    </row>
    <row r="153" spans="1:2" ht="18">
      <c r="A153" s="185" t="s">
        <v>366</v>
      </c>
      <c r="B153" s="185" t="s">
        <v>367</v>
      </c>
    </row>
    <row r="154" spans="1:2" ht="18">
      <c r="A154" s="185" t="s">
        <v>368</v>
      </c>
      <c r="B154" s="185" t="s">
        <v>369</v>
      </c>
    </row>
    <row r="155" spans="1:2" ht="18">
      <c r="A155" s="185" t="s">
        <v>370</v>
      </c>
      <c r="B155" s="185" t="s">
        <v>912</v>
      </c>
    </row>
    <row r="156" spans="1:2" ht="18">
      <c r="A156" s="185" t="s">
        <v>913</v>
      </c>
      <c r="B156" s="185" t="s">
        <v>914</v>
      </c>
    </row>
    <row r="157" spans="1:2" ht="18">
      <c r="A157" s="185" t="s">
        <v>371</v>
      </c>
      <c r="B157" s="185" t="s">
        <v>915</v>
      </c>
    </row>
    <row r="158" spans="1:2" ht="18">
      <c r="A158" s="185" t="s">
        <v>376</v>
      </c>
      <c r="B158" s="185" t="s">
        <v>916</v>
      </c>
    </row>
    <row r="159" spans="1:2" ht="18">
      <c r="A159" s="185" t="s">
        <v>377</v>
      </c>
      <c r="B159" s="185" t="s">
        <v>378</v>
      </c>
    </row>
    <row r="160" spans="1:2" ht="18">
      <c r="A160" s="185" t="s">
        <v>917</v>
      </c>
      <c r="B160" s="185" t="s">
        <v>372</v>
      </c>
    </row>
    <row r="161" spans="1:2" ht="18">
      <c r="A161" s="185" t="s">
        <v>918</v>
      </c>
      <c r="B161" s="185" t="s">
        <v>919</v>
      </c>
    </row>
    <row r="162" spans="1:2" ht="18">
      <c r="A162" s="185" t="s">
        <v>920</v>
      </c>
      <c r="B162" s="185" t="s">
        <v>373</v>
      </c>
    </row>
    <row r="163" spans="1:2" ht="18">
      <c r="A163" s="185" t="s">
        <v>921</v>
      </c>
      <c r="B163" s="185" t="s">
        <v>374</v>
      </c>
    </row>
    <row r="164" spans="1:2" ht="18">
      <c r="A164" s="185" t="s">
        <v>922</v>
      </c>
      <c r="B164" s="185" t="s">
        <v>375</v>
      </c>
    </row>
    <row r="165" spans="1:2">
      <c r="A165" s="3"/>
      <c r="B165" s="3"/>
    </row>
    <row r="166" spans="1:2">
      <c r="A166" s="3"/>
      <c r="B166" s="3"/>
    </row>
    <row r="167" spans="1:2">
      <c r="A167" s="3"/>
      <c r="B167" s="3"/>
    </row>
    <row r="168" spans="1:2">
      <c r="A168" s="3"/>
      <c r="B168" s="3"/>
    </row>
    <row r="169" spans="1:2">
      <c r="A169" s="186"/>
      <c r="B169" s="183">
        <v>31</v>
      </c>
    </row>
    <row r="170" spans="1:2" ht="18">
      <c r="A170" s="187" t="s">
        <v>96</v>
      </c>
      <c r="B170" s="185" t="s">
        <v>923</v>
      </c>
    </row>
    <row r="171" spans="1:2" ht="18">
      <c r="A171" s="185" t="s">
        <v>379</v>
      </c>
      <c r="B171" s="185" t="s">
        <v>924</v>
      </c>
    </row>
    <row r="172" spans="1:2" ht="18">
      <c r="A172" s="185" t="s">
        <v>97</v>
      </c>
      <c r="B172" s="185" t="s">
        <v>925</v>
      </c>
    </row>
    <row r="173" spans="1:2" ht="18">
      <c r="A173" s="185" t="s">
        <v>380</v>
      </c>
      <c r="B173" s="185" t="s">
        <v>381</v>
      </c>
    </row>
    <row r="174" spans="1:2" ht="18">
      <c r="A174" s="185" t="s">
        <v>382</v>
      </c>
      <c r="B174" s="185" t="s">
        <v>383</v>
      </c>
    </row>
    <row r="175" spans="1:2" ht="18">
      <c r="A175" s="185" t="s">
        <v>384</v>
      </c>
      <c r="B175" s="185" t="s">
        <v>385</v>
      </c>
    </row>
    <row r="176" spans="1:2" ht="18">
      <c r="A176" s="185" t="s">
        <v>386</v>
      </c>
      <c r="B176" s="185" t="s">
        <v>387</v>
      </c>
    </row>
    <row r="177" spans="1:2" ht="18">
      <c r="A177" s="185" t="s">
        <v>926</v>
      </c>
      <c r="B177" s="185" t="s">
        <v>392</v>
      </c>
    </row>
    <row r="178" spans="1:2" ht="18">
      <c r="A178" s="185" t="s">
        <v>388</v>
      </c>
      <c r="B178" s="185" t="s">
        <v>927</v>
      </c>
    </row>
    <row r="179" spans="1:2" ht="18">
      <c r="A179" s="185" t="s">
        <v>389</v>
      </c>
      <c r="B179" s="185" t="s">
        <v>790</v>
      </c>
    </row>
    <row r="180" spans="1:2" ht="18">
      <c r="A180" s="185" t="s">
        <v>390</v>
      </c>
      <c r="B180" s="185" t="s">
        <v>791</v>
      </c>
    </row>
    <row r="181" spans="1:2" ht="18">
      <c r="A181" s="185" t="s">
        <v>391</v>
      </c>
      <c r="B181" s="185" t="s">
        <v>792</v>
      </c>
    </row>
    <row r="182" spans="1:2" ht="18">
      <c r="A182" s="185" t="s">
        <v>98</v>
      </c>
      <c r="B182" s="185" t="s">
        <v>99</v>
      </c>
    </row>
    <row r="183" spans="1:2" ht="18">
      <c r="A183" s="185" t="s">
        <v>100</v>
      </c>
      <c r="B183" s="185" t="s">
        <v>101</v>
      </c>
    </row>
    <row r="184" spans="1:2" ht="18">
      <c r="A184" s="185" t="s">
        <v>393</v>
      </c>
      <c r="B184" s="185" t="s">
        <v>394</v>
      </c>
    </row>
    <row r="185" spans="1:2" ht="18">
      <c r="A185" s="185" t="s">
        <v>102</v>
      </c>
      <c r="B185" s="185" t="s">
        <v>928</v>
      </c>
    </row>
    <row r="186" spans="1:2" ht="18">
      <c r="A186" s="185" t="s">
        <v>103</v>
      </c>
      <c r="B186" s="185" t="s">
        <v>929</v>
      </c>
    </row>
    <row r="187" spans="1:2" ht="18">
      <c r="A187" s="185" t="s">
        <v>395</v>
      </c>
      <c r="B187" s="185" t="s">
        <v>930</v>
      </c>
    </row>
    <row r="188" spans="1:2" ht="18">
      <c r="A188" s="185" t="s">
        <v>931</v>
      </c>
      <c r="B188" s="185" t="s">
        <v>932</v>
      </c>
    </row>
    <row r="189" spans="1:2" ht="18">
      <c r="A189" s="185" t="s">
        <v>933</v>
      </c>
      <c r="B189" s="185" t="s">
        <v>934</v>
      </c>
    </row>
    <row r="190" spans="1:2" ht="18">
      <c r="A190" s="185" t="s">
        <v>935</v>
      </c>
      <c r="B190" s="185" t="s">
        <v>936</v>
      </c>
    </row>
    <row r="191" spans="1:2" ht="18">
      <c r="A191" s="185" t="s">
        <v>937</v>
      </c>
      <c r="B191" s="185" t="s">
        <v>938</v>
      </c>
    </row>
    <row r="192" spans="1:2" ht="18">
      <c r="A192" s="185" t="s">
        <v>939</v>
      </c>
      <c r="B192" s="185" t="s">
        <v>940</v>
      </c>
    </row>
    <row r="193" spans="1:2" ht="18">
      <c r="A193" s="185" t="s">
        <v>941</v>
      </c>
      <c r="B193" s="185" t="s">
        <v>942</v>
      </c>
    </row>
    <row r="194" spans="1:2" ht="18">
      <c r="A194" s="185" t="s">
        <v>104</v>
      </c>
      <c r="B194" s="185" t="s">
        <v>943</v>
      </c>
    </row>
    <row r="195" spans="1:2" ht="18">
      <c r="A195" s="185" t="s">
        <v>105</v>
      </c>
      <c r="B195" s="185" t="s">
        <v>944</v>
      </c>
    </row>
    <row r="196" spans="1:2" ht="18">
      <c r="A196" s="185" t="s">
        <v>396</v>
      </c>
      <c r="B196" s="185" t="s">
        <v>945</v>
      </c>
    </row>
    <row r="197" spans="1:2" ht="18">
      <c r="A197" s="185" t="s">
        <v>397</v>
      </c>
      <c r="B197" s="185" t="s">
        <v>946</v>
      </c>
    </row>
    <row r="198" spans="1:2" ht="18">
      <c r="A198" s="185" t="s">
        <v>398</v>
      </c>
      <c r="B198" s="185" t="s">
        <v>399</v>
      </c>
    </row>
    <row r="199" spans="1:2" ht="18">
      <c r="A199" s="185" t="s">
        <v>400</v>
      </c>
      <c r="B199" s="185" t="s">
        <v>401</v>
      </c>
    </row>
    <row r="200" spans="1:2">
      <c r="A200" s="3"/>
      <c r="B200" s="3"/>
    </row>
    <row r="201" spans="1:2">
      <c r="A201" s="3"/>
      <c r="B201" s="3"/>
    </row>
    <row r="202" spans="1:2">
      <c r="A202" s="3"/>
      <c r="B202" s="3"/>
    </row>
    <row r="203" spans="1:2">
      <c r="A203" s="182"/>
      <c r="B203" s="183">
        <v>83</v>
      </c>
    </row>
    <row r="204" spans="1:2" ht="18">
      <c r="A204" s="187" t="s">
        <v>402</v>
      </c>
      <c r="B204" s="185" t="s">
        <v>947</v>
      </c>
    </row>
    <row r="205" spans="1:2" ht="18">
      <c r="A205" s="185" t="s">
        <v>403</v>
      </c>
      <c r="B205" s="185" t="s">
        <v>404</v>
      </c>
    </row>
    <row r="206" spans="1:2" ht="18">
      <c r="A206" s="185" t="s">
        <v>405</v>
      </c>
      <c r="B206" s="185" t="s">
        <v>948</v>
      </c>
    </row>
    <row r="207" spans="1:2" ht="18">
      <c r="A207" s="185" t="s">
        <v>406</v>
      </c>
      <c r="B207" s="185" t="s">
        <v>407</v>
      </c>
    </row>
    <row r="208" spans="1:2" ht="18">
      <c r="A208" s="185" t="s">
        <v>408</v>
      </c>
      <c r="B208" s="185" t="s">
        <v>949</v>
      </c>
    </row>
    <row r="209" spans="1:2" ht="18">
      <c r="A209" s="185" t="s">
        <v>409</v>
      </c>
      <c r="B209" s="185" t="s">
        <v>410</v>
      </c>
    </row>
    <row r="210" spans="1:2" ht="18">
      <c r="A210" s="185" t="s">
        <v>950</v>
      </c>
      <c r="B210" s="185" t="s">
        <v>951</v>
      </c>
    </row>
    <row r="211" spans="1:2" ht="18">
      <c r="A211" s="185" t="s">
        <v>411</v>
      </c>
      <c r="B211" s="185" t="s">
        <v>412</v>
      </c>
    </row>
    <row r="212" spans="1:2" ht="18">
      <c r="A212" s="185" t="s">
        <v>413</v>
      </c>
      <c r="B212" s="185" t="s">
        <v>952</v>
      </c>
    </row>
    <row r="213" spans="1:2" ht="18">
      <c r="A213" s="185" t="s">
        <v>414</v>
      </c>
      <c r="B213" s="185" t="s">
        <v>415</v>
      </c>
    </row>
    <row r="214" spans="1:2" ht="18">
      <c r="A214" s="185" t="s">
        <v>416</v>
      </c>
      <c r="B214" s="185" t="s">
        <v>417</v>
      </c>
    </row>
    <row r="215" spans="1:2" ht="18">
      <c r="A215" s="185" t="s">
        <v>418</v>
      </c>
      <c r="B215" s="185" t="s">
        <v>419</v>
      </c>
    </row>
    <row r="216" spans="1:2" ht="18">
      <c r="A216" s="185" t="s">
        <v>420</v>
      </c>
      <c r="B216" s="185" t="s">
        <v>953</v>
      </c>
    </row>
    <row r="217" spans="1:2" ht="18">
      <c r="A217" s="185" t="s">
        <v>421</v>
      </c>
      <c r="B217" s="185" t="s">
        <v>954</v>
      </c>
    </row>
    <row r="218" spans="1:2" ht="18">
      <c r="A218" s="185" t="s">
        <v>422</v>
      </c>
      <c r="B218" s="185" t="s">
        <v>955</v>
      </c>
    </row>
    <row r="219" spans="1:2" ht="18">
      <c r="A219" s="185" t="s">
        <v>956</v>
      </c>
      <c r="B219" s="185" t="s">
        <v>957</v>
      </c>
    </row>
    <row r="220" spans="1:2" ht="18">
      <c r="A220" s="185" t="s">
        <v>423</v>
      </c>
      <c r="B220" s="185" t="s">
        <v>424</v>
      </c>
    </row>
    <row r="221" spans="1:2" ht="18">
      <c r="A221" s="185" t="s">
        <v>425</v>
      </c>
      <c r="B221" s="185" t="s">
        <v>958</v>
      </c>
    </row>
    <row r="222" spans="1:2" ht="18">
      <c r="A222" s="185" t="s">
        <v>426</v>
      </c>
      <c r="B222" s="185" t="s">
        <v>427</v>
      </c>
    </row>
    <row r="223" spans="1:2" ht="18">
      <c r="A223" s="185" t="s">
        <v>428</v>
      </c>
      <c r="B223" s="185" t="s">
        <v>429</v>
      </c>
    </row>
    <row r="224" spans="1:2" ht="18">
      <c r="A224" s="185" t="s">
        <v>430</v>
      </c>
      <c r="B224" s="185" t="s">
        <v>903</v>
      </c>
    </row>
    <row r="225" spans="1:2" ht="18">
      <c r="A225" s="185" t="s">
        <v>431</v>
      </c>
      <c r="B225" s="185" t="s">
        <v>904</v>
      </c>
    </row>
    <row r="226" spans="1:2" ht="18">
      <c r="A226" s="185" t="s">
        <v>432</v>
      </c>
      <c r="B226" s="185" t="s">
        <v>959</v>
      </c>
    </row>
    <row r="227" spans="1:2" ht="18">
      <c r="A227" s="185" t="s">
        <v>433</v>
      </c>
      <c r="B227" s="185" t="s">
        <v>960</v>
      </c>
    </row>
    <row r="228" spans="1:2" ht="18">
      <c r="A228" s="185" t="s">
        <v>434</v>
      </c>
      <c r="B228" s="185" t="s">
        <v>435</v>
      </c>
    </row>
    <row r="229" spans="1:2" ht="18">
      <c r="A229" s="185" t="s">
        <v>436</v>
      </c>
      <c r="B229" s="185" t="s">
        <v>437</v>
      </c>
    </row>
    <row r="230" spans="1:2" ht="18">
      <c r="A230" s="185" t="s">
        <v>438</v>
      </c>
      <c r="B230" s="185" t="s">
        <v>961</v>
      </c>
    </row>
    <row r="231" spans="1:2" ht="18">
      <c r="A231" s="185" t="s">
        <v>106</v>
      </c>
      <c r="B231" s="185" t="s">
        <v>962</v>
      </c>
    </row>
    <row r="232" spans="1:2" ht="18">
      <c r="A232" s="185" t="s">
        <v>107</v>
      </c>
      <c r="B232" s="185" t="s">
        <v>108</v>
      </c>
    </row>
    <row r="233" spans="1:2" ht="18">
      <c r="A233" s="185" t="s">
        <v>439</v>
      </c>
      <c r="B233" s="185" t="s">
        <v>963</v>
      </c>
    </row>
    <row r="234" spans="1:2" ht="18">
      <c r="A234" s="185" t="s">
        <v>440</v>
      </c>
      <c r="B234" s="185" t="s">
        <v>964</v>
      </c>
    </row>
    <row r="235" spans="1:2" ht="18">
      <c r="A235" s="185" t="s">
        <v>109</v>
      </c>
      <c r="B235" s="185" t="s">
        <v>965</v>
      </c>
    </row>
    <row r="236" spans="1:2" ht="18">
      <c r="A236" s="185" t="s">
        <v>111</v>
      </c>
      <c r="B236" s="185" t="s">
        <v>966</v>
      </c>
    </row>
    <row r="237" spans="1:2" ht="18">
      <c r="A237" s="185" t="s">
        <v>967</v>
      </c>
      <c r="B237" s="185" t="s">
        <v>110</v>
      </c>
    </row>
    <row r="238" spans="1:2" ht="18">
      <c r="A238" s="185" t="s">
        <v>968</v>
      </c>
      <c r="B238" s="185" t="s">
        <v>112</v>
      </c>
    </row>
    <row r="239" spans="1:2" ht="18">
      <c r="A239" s="185" t="s">
        <v>441</v>
      </c>
      <c r="B239" s="185" t="s">
        <v>442</v>
      </c>
    </row>
    <row r="240" spans="1:2" ht="18">
      <c r="A240" s="185" t="s">
        <v>443</v>
      </c>
      <c r="B240" s="185" t="s">
        <v>969</v>
      </c>
    </row>
    <row r="241" spans="1:2" ht="18">
      <c r="A241" s="185" t="s">
        <v>444</v>
      </c>
      <c r="B241" s="185" t="s">
        <v>445</v>
      </c>
    </row>
    <row r="242" spans="1:2" ht="18">
      <c r="A242" s="185" t="s">
        <v>446</v>
      </c>
      <c r="B242" s="185" t="s">
        <v>447</v>
      </c>
    </row>
    <row r="243" spans="1:2" ht="18">
      <c r="A243" s="185" t="s">
        <v>448</v>
      </c>
      <c r="B243" s="185" t="s">
        <v>449</v>
      </c>
    </row>
    <row r="244" spans="1:2" ht="18">
      <c r="A244" s="185" t="s">
        <v>450</v>
      </c>
      <c r="B244" s="185" t="s">
        <v>451</v>
      </c>
    </row>
    <row r="245" spans="1:2" ht="18">
      <c r="A245" s="185" t="s">
        <v>113</v>
      </c>
      <c r="B245" s="185" t="s">
        <v>970</v>
      </c>
    </row>
    <row r="246" spans="1:2" ht="18">
      <c r="A246" s="185" t="s">
        <v>114</v>
      </c>
      <c r="B246" s="185" t="s">
        <v>115</v>
      </c>
    </row>
    <row r="247" spans="1:2" ht="18">
      <c r="A247" s="185" t="s">
        <v>116</v>
      </c>
      <c r="B247" s="185" t="s">
        <v>117</v>
      </c>
    </row>
    <row r="248" spans="1:2" ht="18">
      <c r="A248" s="185" t="s">
        <v>118</v>
      </c>
      <c r="B248" s="185" t="s">
        <v>119</v>
      </c>
    </row>
    <row r="249" spans="1:2" ht="18">
      <c r="A249" s="185" t="s">
        <v>120</v>
      </c>
      <c r="B249" s="185" t="s">
        <v>121</v>
      </c>
    </row>
    <row r="250" spans="1:2" ht="18">
      <c r="A250" s="185" t="s">
        <v>452</v>
      </c>
      <c r="B250" s="185" t="s">
        <v>453</v>
      </c>
    </row>
    <row r="251" spans="1:2" ht="18">
      <c r="A251" s="185" t="s">
        <v>454</v>
      </c>
      <c r="B251" s="185" t="s">
        <v>455</v>
      </c>
    </row>
    <row r="252" spans="1:2" ht="18">
      <c r="A252" s="185" t="s">
        <v>456</v>
      </c>
      <c r="B252" s="185" t="s">
        <v>457</v>
      </c>
    </row>
    <row r="253" spans="1:2" ht="18">
      <c r="A253" s="185" t="s">
        <v>122</v>
      </c>
      <c r="B253" s="185" t="s">
        <v>971</v>
      </c>
    </row>
    <row r="254" spans="1:2" ht="18">
      <c r="A254" s="185" t="s">
        <v>458</v>
      </c>
      <c r="B254" s="185" t="s">
        <v>972</v>
      </c>
    </row>
    <row r="255" spans="1:2" ht="18">
      <c r="A255" s="185" t="s">
        <v>459</v>
      </c>
      <c r="B255" s="185" t="s">
        <v>460</v>
      </c>
    </row>
    <row r="256" spans="1:2" ht="18">
      <c r="A256" s="185" t="s">
        <v>461</v>
      </c>
      <c r="B256" s="185" t="s">
        <v>973</v>
      </c>
    </row>
    <row r="257" spans="1:2" ht="18">
      <c r="A257" s="185" t="s">
        <v>462</v>
      </c>
      <c r="B257" s="185" t="s">
        <v>463</v>
      </c>
    </row>
    <row r="258" spans="1:2" ht="18">
      <c r="A258" s="185" t="s">
        <v>464</v>
      </c>
      <c r="B258" s="185" t="s">
        <v>974</v>
      </c>
    </row>
    <row r="259" spans="1:2" ht="18">
      <c r="A259" s="185" t="s">
        <v>465</v>
      </c>
      <c r="B259" s="185" t="s">
        <v>975</v>
      </c>
    </row>
    <row r="260" spans="1:2" ht="18">
      <c r="A260" s="185" t="s">
        <v>123</v>
      </c>
      <c r="B260" s="185" t="s">
        <v>124</v>
      </c>
    </row>
    <row r="261" spans="1:2" ht="18">
      <c r="A261" s="185" t="s">
        <v>976</v>
      </c>
      <c r="B261" s="185" t="s">
        <v>977</v>
      </c>
    </row>
    <row r="262" spans="1:2" ht="18">
      <c r="A262" s="185" t="s">
        <v>125</v>
      </c>
      <c r="B262" s="185" t="s">
        <v>126</v>
      </c>
    </row>
    <row r="263" spans="1:2" ht="18">
      <c r="A263" s="185" t="s">
        <v>466</v>
      </c>
      <c r="B263" s="185" t="s">
        <v>978</v>
      </c>
    </row>
    <row r="264" spans="1:2" ht="18">
      <c r="A264" s="185" t="s">
        <v>467</v>
      </c>
      <c r="B264" s="185" t="s">
        <v>468</v>
      </c>
    </row>
    <row r="265" spans="1:2" ht="18">
      <c r="A265" s="185" t="s">
        <v>469</v>
      </c>
      <c r="B265" s="185" t="s">
        <v>470</v>
      </c>
    </row>
    <row r="266" spans="1:2" ht="18">
      <c r="A266" s="185" t="s">
        <v>471</v>
      </c>
      <c r="B266" s="185" t="s">
        <v>472</v>
      </c>
    </row>
    <row r="267" spans="1:2" ht="18">
      <c r="A267" s="185" t="s">
        <v>473</v>
      </c>
      <c r="B267" s="185" t="s">
        <v>474</v>
      </c>
    </row>
    <row r="268" spans="1:2" ht="18">
      <c r="A268" s="185" t="s">
        <v>475</v>
      </c>
      <c r="B268" s="185" t="s">
        <v>476</v>
      </c>
    </row>
    <row r="269" spans="1:2" ht="18">
      <c r="A269" s="185" t="s">
        <v>477</v>
      </c>
      <c r="B269" s="185" t="s">
        <v>478</v>
      </c>
    </row>
    <row r="270" spans="1:2" ht="18">
      <c r="A270" s="185" t="s">
        <v>479</v>
      </c>
      <c r="B270" s="185" t="s">
        <v>480</v>
      </c>
    </row>
    <row r="271" spans="1:2" ht="18">
      <c r="A271" s="185" t="s">
        <v>481</v>
      </c>
      <c r="B271" s="185" t="s">
        <v>482</v>
      </c>
    </row>
    <row r="272" spans="1:2" ht="18">
      <c r="A272" s="185" t="s">
        <v>127</v>
      </c>
      <c r="B272" s="185" t="s">
        <v>979</v>
      </c>
    </row>
    <row r="273" spans="1:2" ht="18">
      <c r="A273" s="185" t="s">
        <v>128</v>
      </c>
      <c r="B273" s="185" t="s">
        <v>980</v>
      </c>
    </row>
    <row r="274" spans="1:2" ht="18">
      <c r="A274" s="185" t="s">
        <v>129</v>
      </c>
      <c r="B274" s="185" t="s">
        <v>130</v>
      </c>
    </row>
    <row r="275" spans="1:2" ht="18">
      <c r="A275" s="185" t="s">
        <v>131</v>
      </c>
      <c r="B275" s="185" t="s">
        <v>132</v>
      </c>
    </row>
    <row r="276" spans="1:2" ht="18">
      <c r="A276" s="185" t="s">
        <v>483</v>
      </c>
      <c r="B276" s="185" t="s">
        <v>484</v>
      </c>
    </row>
    <row r="277" spans="1:2" ht="18">
      <c r="A277" s="185" t="s">
        <v>485</v>
      </c>
      <c r="B277" s="185" t="s">
        <v>486</v>
      </c>
    </row>
    <row r="278" spans="1:2" ht="18">
      <c r="A278" s="185" t="s">
        <v>487</v>
      </c>
      <c r="B278" s="185" t="s">
        <v>981</v>
      </c>
    </row>
    <row r="279" spans="1:2" ht="18">
      <c r="A279" s="185" t="s">
        <v>488</v>
      </c>
      <c r="B279" s="185" t="s">
        <v>489</v>
      </c>
    </row>
    <row r="280" spans="1:2" ht="18">
      <c r="A280" s="185" t="s">
        <v>490</v>
      </c>
      <c r="B280" s="185" t="s">
        <v>491</v>
      </c>
    </row>
    <row r="281" spans="1:2" ht="18">
      <c r="A281" s="185" t="s">
        <v>492</v>
      </c>
      <c r="B281" s="185" t="s">
        <v>493</v>
      </c>
    </row>
    <row r="282" spans="1:2" ht="18">
      <c r="A282" s="185" t="s">
        <v>494</v>
      </c>
      <c r="B282" s="185" t="s">
        <v>495</v>
      </c>
    </row>
    <row r="283" spans="1:2" ht="18">
      <c r="A283" s="185" t="s">
        <v>496</v>
      </c>
      <c r="B283" s="185" t="s">
        <v>497</v>
      </c>
    </row>
    <row r="284" spans="1:2" ht="18">
      <c r="A284" s="185" t="s">
        <v>498</v>
      </c>
      <c r="B284" s="185" t="s">
        <v>499</v>
      </c>
    </row>
    <row r="285" spans="1:2" ht="18">
      <c r="A285" s="185" t="s">
        <v>500</v>
      </c>
      <c r="B285" s="185" t="s">
        <v>501</v>
      </c>
    </row>
    <row r="286" spans="1:2">
      <c r="A286" s="3"/>
      <c r="B286" s="3"/>
    </row>
    <row r="287" spans="1:2">
      <c r="A287" s="3"/>
      <c r="B287" s="3"/>
    </row>
    <row r="288" spans="1:2">
      <c r="A288" s="3"/>
      <c r="B288" s="3"/>
    </row>
    <row r="289" spans="1:2">
      <c r="A289" s="186"/>
      <c r="B289" s="183">
        <v>80</v>
      </c>
    </row>
    <row r="290" spans="1:2" ht="18">
      <c r="A290" s="187" t="s">
        <v>133</v>
      </c>
      <c r="B290" s="185" t="s">
        <v>982</v>
      </c>
    </row>
    <row r="291" spans="1:2" ht="18">
      <c r="A291" s="185" t="s">
        <v>502</v>
      </c>
      <c r="B291" s="185" t="s">
        <v>503</v>
      </c>
    </row>
    <row r="292" spans="1:2" ht="18">
      <c r="A292" s="185" t="s">
        <v>134</v>
      </c>
      <c r="B292" s="185" t="s">
        <v>135</v>
      </c>
    </row>
    <row r="293" spans="1:2" ht="18">
      <c r="A293" s="185" t="s">
        <v>504</v>
      </c>
      <c r="B293" s="185" t="s">
        <v>983</v>
      </c>
    </row>
    <row r="294" spans="1:2" ht="18">
      <c r="A294" s="185" t="s">
        <v>136</v>
      </c>
      <c r="B294" s="185" t="s">
        <v>984</v>
      </c>
    </row>
    <row r="295" spans="1:2" ht="18">
      <c r="A295" s="185" t="s">
        <v>137</v>
      </c>
      <c r="B295" s="185" t="s">
        <v>138</v>
      </c>
    </row>
    <row r="296" spans="1:2" ht="18">
      <c r="A296" s="185" t="s">
        <v>139</v>
      </c>
      <c r="B296" s="185" t="s">
        <v>140</v>
      </c>
    </row>
    <row r="297" spans="1:2" ht="18">
      <c r="A297" s="185" t="s">
        <v>141</v>
      </c>
      <c r="B297" s="185" t="s">
        <v>142</v>
      </c>
    </row>
    <row r="298" spans="1:2" ht="18">
      <c r="A298" s="185" t="s">
        <v>143</v>
      </c>
      <c r="B298" s="185" t="s">
        <v>144</v>
      </c>
    </row>
    <row r="299" spans="1:2" ht="18">
      <c r="A299" s="185" t="s">
        <v>985</v>
      </c>
      <c r="B299" s="185" t="s">
        <v>986</v>
      </c>
    </row>
    <row r="300" spans="1:2" ht="18">
      <c r="A300" s="185" t="s">
        <v>987</v>
      </c>
      <c r="B300" s="185" t="s">
        <v>988</v>
      </c>
    </row>
    <row r="301" spans="1:2" ht="18">
      <c r="A301" s="185" t="s">
        <v>145</v>
      </c>
      <c r="B301" s="185" t="s">
        <v>989</v>
      </c>
    </row>
    <row r="302" spans="1:2" ht="18">
      <c r="A302" s="185" t="s">
        <v>146</v>
      </c>
      <c r="B302" s="185" t="s">
        <v>147</v>
      </c>
    </row>
    <row r="303" spans="1:2" ht="18">
      <c r="A303" s="185" t="s">
        <v>148</v>
      </c>
      <c r="B303" s="185" t="s">
        <v>149</v>
      </c>
    </row>
    <row r="304" spans="1:2" ht="18">
      <c r="A304" s="185" t="s">
        <v>150</v>
      </c>
      <c r="B304" s="185" t="s">
        <v>151</v>
      </c>
    </row>
    <row r="305" spans="1:2" ht="18">
      <c r="A305" s="185" t="s">
        <v>152</v>
      </c>
      <c r="B305" s="185" t="s">
        <v>153</v>
      </c>
    </row>
    <row r="306" spans="1:2" ht="18">
      <c r="A306" s="185" t="s">
        <v>505</v>
      </c>
      <c r="B306" s="185" t="s">
        <v>990</v>
      </c>
    </row>
    <row r="307" spans="1:2" ht="18">
      <c r="A307" s="185" t="s">
        <v>506</v>
      </c>
      <c r="B307" s="185" t="s">
        <v>507</v>
      </c>
    </row>
    <row r="308" spans="1:2" ht="18">
      <c r="A308" s="185" t="s">
        <v>508</v>
      </c>
      <c r="B308" s="185" t="s">
        <v>991</v>
      </c>
    </row>
    <row r="309" spans="1:2" ht="18">
      <c r="A309" s="185" t="s">
        <v>154</v>
      </c>
      <c r="B309" s="185" t="s">
        <v>155</v>
      </c>
    </row>
    <row r="310" spans="1:2" ht="18">
      <c r="A310" s="185" t="s">
        <v>156</v>
      </c>
      <c r="B310" s="185" t="s">
        <v>992</v>
      </c>
    </row>
    <row r="311" spans="1:2" ht="18">
      <c r="A311" s="185" t="s">
        <v>157</v>
      </c>
      <c r="B311" s="185" t="s">
        <v>158</v>
      </c>
    </row>
    <row r="312" spans="1:2" ht="18">
      <c r="A312" s="185" t="s">
        <v>159</v>
      </c>
      <c r="B312" s="185" t="s">
        <v>160</v>
      </c>
    </row>
    <row r="313" spans="1:2" ht="18">
      <c r="A313" s="185" t="s">
        <v>161</v>
      </c>
      <c r="B313" s="185" t="s">
        <v>162</v>
      </c>
    </row>
    <row r="314" spans="1:2" ht="18">
      <c r="A314" s="185" t="s">
        <v>509</v>
      </c>
      <c r="B314" s="185" t="s">
        <v>510</v>
      </c>
    </row>
    <row r="315" spans="1:2" ht="18">
      <c r="A315" s="185" t="s">
        <v>163</v>
      </c>
      <c r="B315" s="185" t="s">
        <v>164</v>
      </c>
    </row>
    <row r="316" spans="1:2" ht="18">
      <c r="A316" s="185" t="s">
        <v>511</v>
      </c>
      <c r="B316" s="185" t="s">
        <v>512</v>
      </c>
    </row>
    <row r="317" spans="1:2" ht="18">
      <c r="A317" s="185" t="s">
        <v>513</v>
      </c>
      <c r="B317" s="185" t="s">
        <v>514</v>
      </c>
    </row>
    <row r="318" spans="1:2" ht="18">
      <c r="A318" s="185" t="s">
        <v>515</v>
      </c>
      <c r="B318" s="185" t="s">
        <v>516</v>
      </c>
    </row>
    <row r="319" spans="1:2" ht="18">
      <c r="A319" s="185" t="s">
        <v>165</v>
      </c>
      <c r="B319" s="185" t="s">
        <v>166</v>
      </c>
    </row>
    <row r="320" spans="1:2" ht="18">
      <c r="A320" s="185" t="s">
        <v>517</v>
      </c>
      <c r="B320" s="185" t="s">
        <v>993</v>
      </c>
    </row>
    <row r="321" spans="1:2" ht="18">
      <c r="A321" s="185" t="s">
        <v>518</v>
      </c>
      <c r="B321" s="185" t="s">
        <v>519</v>
      </c>
    </row>
    <row r="322" spans="1:2" ht="18">
      <c r="A322" s="185" t="s">
        <v>520</v>
      </c>
      <c r="B322" s="185" t="s">
        <v>521</v>
      </c>
    </row>
    <row r="323" spans="1:2" ht="18">
      <c r="A323" s="185" t="s">
        <v>522</v>
      </c>
      <c r="B323" s="185" t="s">
        <v>948</v>
      </c>
    </row>
    <row r="324" spans="1:2" ht="18">
      <c r="A324" s="185" t="s">
        <v>523</v>
      </c>
      <c r="B324" s="185" t="s">
        <v>407</v>
      </c>
    </row>
    <row r="325" spans="1:2" ht="18">
      <c r="A325" s="185" t="s">
        <v>524</v>
      </c>
      <c r="B325" s="185" t="s">
        <v>949</v>
      </c>
    </row>
    <row r="326" spans="1:2" ht="18">
      <c r="A326" s="185" t="s">
        <v>525</v>
      </c>
      <c r="B326" s="185" t="s">
        <v>410</v>
      </c>
    </row>
    <row r="327" spans="1:2" ht="18">
      <c r="A327" s="185" t="s">
        <v>526</v>
      </c>
      <c r="B327" s="185" t="s">
        <v>412</v>
      </c>
    </row>
    <row r="328" spans="1:2" ht="18">
      <c r="A328" s="185" t="s">
        <v>167</v>
      </c>
      <c r="B328" s="185" t="s">
        <v>994</v>
      </c>
    </row>
    <row r="329" spans="1:2" ht="18">
      <c r="A329" s="185" t="s">
        <v>168</v>
      </c>
      <c r="B329" s="185" t="s">
        <v>169</v>
      </c>
    </row>
    <row r="330" spans="1:2" ht="18">
      <c r="A330" s="185" t="s">
        <v>527</v>
      </c>
      <c r="B330" s="185" t="s">
        <v>528</v>
      </c>
    </row>
    <row r="331" spans="1:2" ht="18">
      <c r="A331" s="185" t="s">
        <v>529</v>
      </c>
      <c r="B331" s="185" t="s">
        <v>530</v>
      </c>
    </row>
    <row r="332" spans="1:2" ht="18">
      <c r="A332" s="185" t="s">
        <v>170</v>
      </c>
      <c r="B332" s="185" t="s">
        <v>171</v>
      </c>
    </row>
    <row r="333" spans="1:2" ht="18">
      <c r="A333" s="185" t="s">
        <v>172</v>
      </c>
      <c r="B333" s="185" t="s">
        <v>995</v>
      </c>
    </row>
    <row r="334" spans="1:2" ht="18">
      <c r="A334" s="185" t="s">
        <v>173</v>
      </c>
      <c r="B334" s="185" t="s">
        <v>174</v>
      </c>
    </row>
    <row r="335" spans="1:2" ht="18">
      <c r="A335" s="185" t="s">
        <v>175</v>
      </c>
      <c r="B335" s="185" t="s">
        <v>176</v>
      </c>
    </row>
    <row r="336" spans="1:2" ht="18">
      <c r="A336" s="185" t="s">
        <v>177</v>
      </c>
      <c r="B336" s="185" t="s">
        <v>178</v>
      </c>
    </row>
    <row r="337" spans="1:2" ht="18">
      <c r="A337" s="185" t="s">
        <v>179</v>
      </c>
      <c r="B337" s="185" t="s">
        <v>996</v>
      </c>
    </row>
    <row r="338" spans="1:2" ht="18">
      <c r="A338" s="185" t="s">
        <v>531</v>
      </c>
      <c r="B338" s="185" t="s">
        <v>997</v>
      </c>
    </row>
    <row r="339" spans="1:2" ht="18">
      <c r="A339" s="185" t="s">
        <v>532</v>
      </c>
      <c r="B339" s="185" t="s">
        <v>998</v>
      </c>
    </row>
    <row r="340" spans="1:2" ht="18">
      <c r="A340" s="185" t="s">
        <v>180</v>
      </c>
      <c r="B340" s="185" t="s">
        <v>999</v>
      </c>
    </row>
    <row r="341" spans="1:2" ht="18">
      <c r="A341" s="185" t="s">
        <v>181</v>
      </c>
      <c r="B341" s="185" t="s">
        <v>1000</v>
      </c>
    </row>
    <row r="342" spans="1:2" ht="18">
      <c r="A342" s="185" t="s">
        <v>533</v>
      </c>
      <c r="B342" s="185" t="s">
        <v>1001</v>
      </c>
    </row>
    <row r="343" spans="1:2" ht="18">
      <c r="A343" s="185" t="s">
        <v>534</v>
      </c>
      <c r="B343" s="185" t="s">
        <v>1002</v>
      </c>
    </row>
    <row r="344" spans="1:2" ht="18">
      <c r="A344" s="185" t="s">
        <v>1003</v>
      </c>
      <c r="B344" s="185" t="s">
        <v>1004</v>
      </c>
    </row>
    <row r="345" spans="1:2" ht="18">
      <c r="A345" s="185" t="s">
        <v>182</v>
      </c>
      <c r="B345" s="185" t="s">
        <v>1005</v>
      </c>
    </row>
    <row r="346" spans="1:2" ht="18">
      <c r="A346" s="185" t="s">
        <v>183</v>
      </c>
      <c r="B346" s="185" t="s">
        <v>1006</v>
      </c>
    </row>
    <row r="347" spans="1:2" ht="18">
      <c r="A347" s="185" t="s">
        <v>535</v>
      </c>
      <c r="B347" s="185" t="s">
        <v>536</v>
      </c>
    </row>
    <row r="348" spans="1:2" ht="18">
      <c r="A348" s="185" t="s">
        <v>537</v>
      </c>
      <c r="B348" s="185" t="s">
        <v>538</v>
      </c>
    </row>
    <row r="349" spans="1:2" ht="18">
      <c r="A349" s="185" t="s">
        <v>539</v>
      </c>
      <c r="B349" s="185" t="s">
        <v>540</v>
      </c>
    </row>
    <row r="350" spans="1:2" ht="18">
      <c r="A350" s="185" t="s">
        <v>541</v>
      </c>
      <c r="B350" s="185" t="s">
        <v>542</v>
      </c>
    </row>
    <row r="351" spans="1:2" ht="18">
      <c r="A351" s="185" t="s">
        <v>543</v>
      </c>
      <c r="B351" s="185" t="s">
        <v>544</v>
      </c>
    </row>
    <row r="352" spans="1:2" ht="18">
      <c r="A352" s="185" t="s">
        <v>545</v>
      </c>
      <c r="B352" s="185" t="s">
        <v>1007</v>
      </c>
    </row>
    <row r="353" spans="1:2" ht="18">
      <c r="A353" s="185" t="s">
        <v>546</v>
      </c>
      <c r="B353" s="185" t="s">
        <v>547</v>
      </c>
    </row>
    <row r="354" spans="1:2" ht="18">
      <c r="A354" s="185" t="s">
        <v>548</v>
      </c>
      <c r="B354" s="185" t="s">
        <v>549</v>
      </c>
    </row>
    <row r="355" spans="1:2" ht="18">
      <c r="A355" s="185" t="s">
        <v>184</v>
      </c>
      <c r="B355" s="185" t="s">
        <v>185</v>
      </c>
    </row>
    <row r="356" spans="1:2" ht="18">
      <c r="A356" s="185" t="s">
        <v>550</v>
      </c>
      <c r="B356" s="185" t="s">
        <v>1008</v>
      </c>
    </row>
    <row r="357" spans="1:2" ht="18">
      <c r="A357" s="185" t="s">
        <v>551</v>
      </c>
      <c r="B357" s="185" t="s">
        <v>552</v>
      </c>
    </row>
    <row r="358" spans="1:2" ht="18">
      <c r="A358" s="185" t="s">
        <v>553</v>
      </c>
      <c r="B358" s="185" t="s">
        <v>554</v>
      </c>
    </row>
    <row r="359" spans="1:2" ht="18">
      <c r="A359" s="185" t="s">
        <v>555</v>
      </c>
      <c r="B359" s="185" t="s">
        <v>556</v>
      </c>
    </row>
    <row r="360" spans="1:2" ht="18">
      <c r="A360" s="185" t="s">
        <v>557</v>
      </c>
      <c r="B360" s="185" t="s">
        <v>558</v>
      </c>
    </row>
    <row r="361" spans="1:2" ht="18">
      <c r="A361" s="185" t="s">
        <v>559</v>
      </c>
      <c r="B361" s="185" t="s">
        <v>560</v>
      </c>
    </row>
    <row r="362" spans="1:2" ht="18">
      <c r="A362" s="185" t="s">
        <v>561</v>
      </c>
      <c r="B362" s="185" t="s">
        <v>562</v>
      </c>
    </row>
    <row r="363" spans="1:2" ht="18">
      <c r="A363" s="185" t="s">
        <v>563</v>
      </c>
      <c r="B363" s="185" t="s">
        <v>564</v>
      </c>
    </row>
    <row r="364" spans="1:2" ht="18">
      <c r="A364" s="185" t="s">
        <v>565</v>
      </c>
      <c r="B364" s="185" t="s">
        <v>1009</v>
      </c>
    </row>
    <row r="365" spans="1:2" ht="18">
      <c r="A365" s="185" t="s">
        <v>566</v>
      </c>
      <c r="B365" s="185" t="s">
        <v>1010</v>
      </c>
    </row>
    <row r="366" spans="1:2" ht="18">
      <c r="A366" s="185" t="s">
        <v>567</v>
      </c>
      <c r="B366" s="185" t="s">
        <v>1011</v>
      </c>
    </row>
    <row r="367" spans="1:2" ht="18">
      <c r="A367" s="185" t="s">
        <v>1012</v>
      </c>
      <c r="B367" s="185" t="s">
        <v>1013</v>
      </c>
    </row>
    <row r="368" spans="1:2" ht="18">
      <c r="A368" s="185" t="s">
        <v>568</v>
      </c>
      <c r="B368" s="185" t="s">
        <v>569</v>
      </c>
    </row>
    <row r="369" spans="1:2">
      <c r="A369" s="3"/>
      <c r="B369" s="3"/>
    </row>
    <row r="370" spans="1:2">
      <c r="A370" s="3"/>
      <c r="B370" s="3"/>
    </row>
    <row r="371" spans="1:2">
      <c r="A371" s="3"/>
      <c r="B371" s="3"/>
    </row>
    <row r="372" spans="1:2">
      <c r="A372" s="186"/>
      <c r="B372" s="183">
        <v>61</v>
      </c>
    </row>
    <row r="373" spans="1:2" ht="18">
      <c r="A373" s="187" t="s">
        <v>186</v>
      </c>
      <c r="B373" s="185" t="s">
        <v>1014</v>
      </c>
    </row>
    <row r="374" spans="1:2" ht="18">
      <c r="A374" s="185" t="s">
        <v>570</v>
      </c>
      <c r="B374" s="185" t="s">
        <v>1015</v>
      </c>
    </row>
    <row r="375" spans="1:2" ht="18">
      <c r="A375" s="185" t="s">
        <v>571</v>
      </c>
      <c r="B375" s="185" t="s">
        <v>1016</v>
      </c>
    </row>
    <row r="376" spans="1:2" ht="18">
      <c r="A376" s="185" t="s">
        <v>187</v>
      </c>
      <c r="B376" s="185" t="s">
        <v>1017</v>
      </c>
    </row>
    <row r="377" spans="1:2" ht="18">
      <c r="A377" s="185" t="s">
        <v>189</v>
      </c>
      <c r="B377" s="185" t="s">
        <v>1018</v>
      </c>
    </row>
    <row r="378" spans="1:2" ht="18">
      <c r="A378" s="185" t="s">
        <v>1019</v>
      </c>
      <c r="B378" s="185" t="s">
        <v>188</v>
      </c>
    </row>
    <row r="379" spans="1:2" ht="18">
      <c r="A379" s="185" t="s">
        <v>1020</v>
      </c>
      <c r="B379" s="185" t="s">
        <v>190</v>
      </c>
    </row>
    <row r="380" spans="1:2" ht="18">
      <c r="A380" s="185" t="s">
        <v>191</v>
      </c>
      <c r="B380" s="185" t="s">
        <v>1021</v>
      </c>
    </row>
    <row r="381" spans="1:2" ht="18">
      <c r="A381" s="185" t="s">
        <v>572</v>
      </c>
      <c r="B381" s="185" t="s">
        <v>1022</v>
      </c>
    </row>
    <row r="382" spans="1:2" ht="18">
      <c r="A382" s="185" t="s">
        <v>573</v>
      </c>
      <c r="B382" s="185" t="s">
        <v>1023</v>
      </c>
    </row>
    <row r="383" spans="1:2" ht="18">
      <c r="A383" s="185" t="s">
        <v>192</v>
      </c>
      <c r="B383" s="185" t="s">
        <v>1024</v>
      </c>
    </row>
    <row r="384" spans="1:2" ht="18">
      <c r="A384" s="185" t="s">
        <v>193</v>
      </c>
      <c r="B384" s="185" t="s">
        <v>1025</v>
      </c>
    </row>
    <row r="385" spans="1:2" ht="18">
      <c r="A385" s="185" t="s">
        <v>1026</v>
      </c>
      <c r="B385" s="185" t="s">
        <v>1027</v>
      </c>
    </row>
    <row r="386" spans="1:2" ht="18">
      <c r="A386" s="185" t="s">
        <v>1028</v>
      </c>
      <c r="B386" s="185" t="s">
        <v>194</v>
      </c>
    </row>
    <row r="387" spans="1:2" ht="18">
      <c r="A387" s="185" t="s">
        <v>574</v>
      </c>
      <c r="B387" s="185" t="s">
        <v>1029</v>
      </c>
    </row>
    <row r="388" spans="1:2" ht="18">
      <c r="A388" s="185" t="s">
        <v>575</v>
      </c>
      <c r="B388" s="185" t="s">
        <v>576</v>
      </c>
    </row>
    <row r="389" spans="1:2" ht="18">
      <c r="A389" s="185" t="s">
        <v>577</v>
      </c>
      <c r="B389" s="185" t="s">
        <v>578</v>
      </c>
    </row>
    <row r="390" spans="1:2" ht="18">
      <c r="A390" s="185" t="s">
        <v>579</v>
      </c>
      <c r="B390" s="185" t="s">
        <v>1030</v>
      </c>
    </row>
    <row r="391" spans="1:2" ht="18">
      <c r="A391" s="185" t="s">
        <v>580</v>
      </c>
      <c r="B391" s="185" t="s">
        <v>1031</v>
      </c>
    </row>
    <row r="392" spans="1:2" ht="18">
      <c r="A392" s="185" t="s">
        <v>581</v>
      </c>
      <c r="B392" s="185" t="s">
        <v>1032</v>
      </c>
    </row>
    <row r="393" spans="1:2" ht="18">
      <c r="A393" s="185" t="s">
        <v>582</v>
      </c>
      <c r="B393" s="185" t="s">
        <v>1033</v>
      </c>
    </row>
    <row r="394" spans="1:2" ht="18">
      <c r="A394" s="185" t="s">
        <v>583</v>
      </c>
      <c r="B394" s="185" t="s">
        <v>1034</v>
      </c>
    </row>
    <row r="395" spans="1:2" ht="18">
      <c r="A395" s="185" t="s">
        <v>584</v>
      </c>
      <c r="B395" s="185" t="s">
        <v>585</v>
      </c>
    </row>
    <row r="396" spans="1:2" ht="18">
      <c r="A396" s="185" t="s">
        <v>586</v>
      </c>
      <c r="B396" s="185" t="s">
        <v>1035</v>
      </c>
    </row>
    <row r="397" spans="1:2" ht="18">
      <c r="A397" s="185" t="s">
        <v>587</v>
      </c>
      <c r="B397" s="185" t="s">
        <v>588</v>
      </c>
    </row>
    <row r="398" spans="1:2" ht="18">
      <c r="A398" s="185" t="s">
        <v>589</v>
      </c>
      <c r="B398" s="185" t="s">
        <v>590</v>
      </c>
    </row>
    <row r="399" spans="1:2" ht="18">
      <c r="A399" s="185" t="s">
        <v>591</v>
      </c>
      <c r="B399" s="185" t="s">
        <v>1036</v>
      </c>
    </row>
    <row r="400" spans="1:2" ht="18">
      <c r="A400" s="185" t="s">
        <v>592</v>
      </c>
      <c r="B400" s="185" t="s">
        <v>593</v>
      </c>
    </row>
    <row r="401" spans="1:2" ht="18">
      <c r="A401" s="185" t="s">
        <v>195</v>
      </c>
      <c r="B401" s="185" t="s">
        <v>1037</v>
      </c>
    </row>
    <row r="402" spans="1:2" ht="18">
      <c r="A402" s="185" t="s">
        <v>594</v>
      </c>
      <c r="B402" s="185" t="s">
        <v>1038</v>
      </c>
    </row>
    <row r="403" spans="1:2" ht="18">
      <c r="A403" s="185" t="s">
        <v>595</v>
      </c>
      <c r="B403" s="185" t="s">
        <v>1039</v>
      </c>
    </row>
    <row r="404" spans="1:2" ht="18">
      <c r="A404" s="185" t="s">
        <v>196</v>
      </c>
      <c r="B404" s="185" t="s">
        <v>1040</v>
      </c>
    </row>
    <row r="405" spans="1:2" ht="18">
      <c r="A405" s="185" t="s">
        <v>197</v>
      </c>
      <c r="B405" s="185" t="s">
        <v>198</v>
      </c>
    </row>
    <row r="406" spans="1:2" ht="18">
      <c r="A406" s="185" t="s">
        <v>596</v>
      </c>
      <c r="B406" s="185" t="s">
        <v>597</v>
      </c>
    </row>
    <row r="407" spans="1:2" ht="18">
      <c r="A407" s="185" t="s">
        <v>598</v>
      </c>
      <c r="B407" s="185" t="s">
        <v>1041</v>
      </c>
    </row>
    <row r="408" spans="1:2" ht="18">
      <c r="A408" s="185" t="s">
        <v>599</v>
      </c>
      <c r="B408" s="185" t="s">
        <v>1042</v>
      </c>
    </row>
    <row r="409" spans="1:2" ht="18">
      <c r="A409" s="185" t="s">
        <v>199</v>
      </c>
      <c r="B409" s="185" t="s">
        <v>1043</v>
      </c>
    </row>
    <row r="410" spans="1:2" ht="18">
      <c r="A410" s="185" t="s">
        <v>600</v>
      </c>
      <c r="B410" s="185" t="s">
        <v>601</v>
      </c>
    </row>
    <row r="411" spans="1:2" ht="18">
      <c r="A411" s="185" t="s">
        <v>602</v>
      </c>
      <c r="B411" s="185" t="s">
        <v>603</v>
      </c>
    </row>
    <row r="412" spans="1:2" ht="18">
      <c r="A412" s="185" t="s">
        <v>604</v>
      </c>
      <c r="B412" s="185" t="s">
        <v>605</v>
      </c>
    </row>
    <row r="413" spans="1:2" ht="18">
      <c r="A413" s="185" t="s">
        <v>606</v>
      </c>
      <c r="B413" s="185" t="s">
        <v>607</v>
      </c>
    </row>
    <row r="414" spans="1:2" ht="18">
      <c r="A414" s="185" t="s">
        <v>608</v>
      </c>
      <c r="B414" s="185" t="s">
        <v>609</v>
      </c>
    </row>
    <row r="415" spans="1:2" ht="18">
      <c r="A415" s="185" t="s">
        <v>610</v>
      </c>
      <c r="B415" s="185" t="s">
        <v>611</v>
      </c>
    </row>
    <row r="416" spans="1:2" ht="18">
      <c r="A416" s="185" t="s">
        <v>612</v>
      </c>
      <c r="B416" s="185" t="s">
        <v>613</v>
      </c>
    </row>
    <row r="417" spans="1:2" ht="18">
      <c r="A417" s="185" t="s">
        <v>614</v>
      </c>
      <c r="B417" s="185" t="s">
        <v>615</v>
      </c>
    </row>
    <row r="418" spans="1:2" ht="18">
      <c r="A418" s="185" t="s">
        <v>616</v>
      </c>
      <c r="B418" s="185" t="s">
        <v>617</v>
      </c>
    </row>
    <row r="419" spans="1:2" ht="18">
      <c r="A419" s="185" t="s">
        <v>200</v>
      </c>
      <c r="B419" s="185" t="s">
        <v>201</v>
      </c>
    </row>
    <row r="420" spans="1:2" ht="18">
      <c r="A420" s="185" t="s">
        <v>618</v>
      </c>
      <c r="B420" s="185" t="s">
        <v>1044</v>
      </c>
    </row>
    <row r="421" spans="1:2" ht="18">
      <c r="A421" s="185" t="s">
        <v>619</v>
      </c>
      <c r="B421" s="185" t="s">
        <v>620</v>
      </c>
    </row>
    <row r="422" spans="1:2" ht="18">
      <c r="A422" s="185" t="s">
        <v>621</v>
      </c>
      <c r="B422" s="185" t="s">
        <v>622</v>
      </c>
    </row>
    <row r="423" spans="1:2" ht="18">
      <c r="A423" s="185" t="s">
        <v>623</v>
      </c>
      <c r="B423" s="185" t="s">
        <v>624</v>
      </c>
    </row>
    <row r="424" spans="1:2" ht="18">
      <c r="A424" s="185" t="s">
        <v>625</v>
      </c>
      <c r="B424" s="185" t="s">
        <v>1045</v>
      </c>
    </row>
    <row r="425" spans="1:2" ht="18">
      <c r="A425" s="185" t="s">
        <v>626</v>
      </c>
      <c r="B425" s="185" t="s">
        <v>627</v>
      </c>
    </row>
    <row r="426" spans="1:2" ht="18">
      <c r="A426" s="185" t="s">
        <v>628</v>
      </c>
      <c r="B426" s="185" t="s">
        <v>629</v>
      </c>
    </row>
    <row r="427" spans="1:2" ht="18">
      <c r="A427" s="185" t="s">
        <v>630</v>
      </c>
      <c r="B427" s="185" t="s">
        <v>631</v>
      </c>
    </row>
    <row r="428" spans="1:2" ht="18">
      <c r="A428" s="185" t="s">
        <v>632</v>
      </c>
      <c r="B428" s="185" t="s">
        <v>1046</v>
      </c>
    </row>
    <row r="429" spans="1:2" ht="18">
      <c r="A429" s="185" t="s">
        <v>633</v>
      </c>
      <c r="B429" s="185" t="s">
        <v>634</v>
      </c>
    </row>
    <row r="430" spans="1:2" ht="18">
      <c r="A430" s="185" t="s">
        <v>635</v>
      </c>
      <c r="B430" s="185" t="s">
        <v>1047</v>
      </c>
    </row>
    <row r="431" spans="1:2" ht="18">
      <c r="A431" s="185" t="s">
        <v>1048</v>
      </c>
      <c r="B431" s="185" t="s">
        <v>1049</v>
      </c>
    </row>
    <row r="432" spans="1:2" ht="18">
      <c r="A432" s="185" t="s">
        <v>636</v>
      </c>
      <c r="B432" s="185" t="s">
        <v>637</v>
      </c>
    </row>
    <row r="433" spans="1:2">
      <c r="A433" s="3"/>
      <c r="B433" s="3"/>
    </row>
    <row r="434" spans="1:2">
      <c r="A434" s="3"/>
      <c r="B434" s="3"/>
    </row>
    <row r="435" spans="1:2">
      <c r="A435" s="3"/>
      <c r="B435" s="3"/>
    </row>
    <row r="436" spans="1:2">
      <c r="A436" s="186"/>
      <c r="B436" s="183">
        <v>16</v>
      </c>
    </row>
    <row r="437" spans="1:2" ht="18">
      <c r="A437" s="187" t="s">
        <v>202</v>
      </c>
      <c r="B437" s="185" t="s">
        <v>1050</v>
      </c>
    </row>
    <row r="438" spans="1:2" ht="18">
      <c r="A438" s="185" t="s">
        <v>32</v>
      </c>
      <c r="B438" s="185" t="s">
        <v>1051</v>
      </c>
    </row>
    <row r="439" spans="1:2" ht="18">
      <c r="A439" s="185" t="s">
        <v>638</v>
      </c>
      <c r="B439" s="185" t="s">
        <v>1052</v>
      </c>
    </row>
    <row r="440" spans="1:2" ht="18">
      <c r="A440" s="185" t="s">
        <v>639</v>
      </c>
      <c r="B440" s="185" t="s">
        <v>1053</v>
      </c>
    </row>
    <row r="441" spans="1:2" ht="18">
      <c r="A441" s="185" t="s">
        <v>640</v>
      </c>
      <c r="B441" s="185" t="s">
        <v>1054</v>
      </c>
    </row>
    <row r="442" spans="1:2" ht="18">
      <c r="A442" s="185" t="s">
        <v>641</v>
      </c>
      <c r="B442" s="185" t="s">
        <v>642</v>
      </c>
    </row>
    <row r="443" spans="1:2" ht="18">
      <c r="A443" s="185" t="s">
        <v>643</v>
      </c>
      <c r="B443" s="185" t="s">
        <v>1055</v>
      </c>
    </row>
    <row r="444" spans="1:2" ht="18">
      <c r="A444" s="185" t="s">
        <v>644</v>
      </c>
      <c r="B444" s="185" t="s">
        <v>645</v>
      </c>
    </row>
    <row r="445" spans="1:2" ht="18">
      <c r="A445" s="185" t="s">
        <v>646</v>
      </c>
      <c r="B445" s="185" t="s">
        <v>647</v>
      </c>
    </row>
    <row r="446" spans="1:2" ht="18">
      <c r="A446" s="185" t="s">
        <v>648</v>
      </c>
      <c r="B446" s="185" t="s">
        <v>649</v>
      </c>
    </row>
    <row r="447" spans="1:2" ht="18">
      <c r="A447" s="185" t="s">
        <v>650</v>
      </c>
      <c r="B447" s="185" t="s">
        <v>651</v>
      </c>
    </row>
    <row r="448" spans="1:2" ht="18">
      <c r="A448" s="185" t="s">
        <v>652</v>
      </c>
      <c r="B448" s="185" t="s">
        <v>653</v>
      </c>
    </row>
    <row r="449" spans="1:2" ht="18">
      <c r="A449" s="185" t="s">
        <v>654</v>
      </c>
      <c r="B449" s="185" t="s">
        <v>1056</v>
      </c>
    </row>
    <row r="450" spans="1:2" ht="18">
      <c r="A450" s="185" t="s">
        <v>655</v>
      </c>
      <c r="B450" s="185" t="s">
        <v>1057</v>
      </c>
    </row>
    <row r="451" spans="1:2" ht="18">
      <c r="A451" s="185" t="s">
        <v>656</v>
      </c>
      <c r="B451" s="185" t="s">
        <v>1058</v>
      </c>
    </row>
    <row r="452" spans="1:2">
      <c r="A452" s="3"/>
      <c r="B452" s="3"/>
    </row>
    <row r="453" spans="1:2">
      <c r="A453" s="3"/>
      <c r="B453" s="3"/>
    </row>
    <row r="454" spans="1:2">
      <c r="A454" s="3"/>
      <c r="B454" s="3"/>
    </row>
    <row r="455" spans="1:2" ht="15.75">
      <c r="A455" s="188"/>
      <c r="B455" s="189">
        <v>20</v>
      </c>
    </row>
    <row r="456" spans="1:2" ht="18">
      <c r="A456" s="187" t="s">
        <v>658</v>
      </c>
      <c r="B456" s="185" t="s">
        <v>659</v>
      </c>
    </row>
    <row r="457" spans="1:2" ht="18">
      <c r="A457" s="185" t="s">
        <v>660</v>
      </c>
      <c r="B457" s="185" t="s">
        <v>1059</v>
      </c>
    </row>
    <row r="458" spans="1:2" ht="18">
      <c r="A458" s="185" t="s">
        <v>661</v>
      </c>
      <c r="B458" s="185" t="s">
        <v>1060</v>
      </c>
    </row>
    <row r="459" spans="1:2" ht="18">
      <c r="A459" s="185" t="s">
        <v>662</v>
      </c>
      <c r="B459" s="185" t="s">
        <v>1061</v>
      </c>
    </row>
    <row r="460" spans="1:2" ht="18">
      <c r="A460" s="185" t="s">
        <v>663</v>
      </c>
      <c r="B460" s="185" t="s">
        <v>1062</v>
      </c>
    </row>
    <row r="461" spans="1:2" ht="18">
      <c r="A461" s="185" t="s">
        <v>664</v>
      </c>
      <c r="B461" s="185" t="s">
        <v>1063</v>
      </c>
    </row>
    <row r="462" spans="1:2" ht="18">
      <c r="A462" s="185" t="s">
        <v>1064</v>
      </c>
      <c r="B462" s="185" t="s">
        <v>1065</v>
      </c>
    </row>
    <row r="463" spans="1:2" ht="18">
      <c r="A463" s="185" t="s">
        <v>1066</v>
      </c>
      <c r="B463" s="185" t="s">
        <v>1067</v>
      </c>
    </row>
    <row r="464" spans="1:2" ht="18">
      <c r="A464" s="185" t="s">
        <v>665</v>
      </c>
      <c r="B464" s="185" t="s">
        <v>666</v>
      </c>
    </row>
    <row r="465" spans="1:2" ht="18">
      <c r="A465" s="185" t="s">
        <v>667</v>
      </c>
      <c r="B465" s="185" t="s">
        <v>1068</v>
      </c>
    </row>
    <row r="466" spans="1:2" ht="18">
      <c r="A466" s="185" t="s">
        <v>668</v>
      </c>
      <c r="B466" s="185" t="s">
        <v>1069</v>
      </c>
    </row>
    <row r="467" spans="1:2" ht="18">
      <c r="A467" s="185" t="s">
        <v>669</v>
      </c>
      <c r="B467" s="185" t="s">
        <v>1070</v>
      </c>
    </row>
    <row r="468" spans="1:2" ht="18">
      <c r="A468" s="185" t="s">
        <v>671</v>
      </c>
      <c r="B468" s="185" t="s">
        <v>1071</v>
      </c>
    </row>
    <row r="469" spans="1:2" ht="18">
      <c r="A469" s="185" t="s">
        <v>673</v>
      </c>
      <c r="B469" s="185" t="s">
        <v>1072</v>
      </c>
    </row>
    <row r="470" spans="1:2" ht="18">
      <c r="A470" s="185" t="s">
        <v>1073</v>
      </c>
      <c r="B470" s="185" t="s">
        <v>1074</v>
      </c>
    </row>
    <row r="471" spans="1:2" ht="18">
      <c r="A471" s="185" t="s">
        <v>1075</v>
      </c>
      <c r="B471" s="185" t="s">
        <v>1076</v>
      </c>
    </row>
    <row r="472" spans="1:2" ht="15.75">
      <c r="A472" s="188" t="s">
        <v>669</v>
      </c>
      <c r="B472" s="189" t="s">
        <v>670</v>
      </c>
    </row>
    <row r="473" spans="1:2" ht="15.75">
      <c r="A473" s="188" t="s">
        <v>671</v>
      </c>
      <c r="B473" s="189" t="s">
        <v>672</v>
      </c>
    </row>
    <row r="474" spans="1:2" ht="15.75">
      <c r="A474" s="188" t="s">
        <v>673</v>
      </c>
      <c r="B474" s="189" t="s">
        <v>674</v>
      </c>
    </row>
    <row r="475" spans="1:2">
      <c r="A475" s="3"/>
      <c r="B475" s="3"/>
    </row>
    <row r="476" spans="1:2">
      <c r="A476" s="3"/>
      <c r="B476" s="3"/>
    </row>
    <row r="477" spans="1:2">
      <c r="A477" s="3"/>
      <c r="B477" s="3"/>
    </row>
    <row r="478" spans="1:2">
      <c r="A478" s="3"/>
      <c r="B478" s="3"/>
    </row>
    <row r="479" spans="1:2">
      <c r="A479" s="182"/>
      <c r="B479" s="190">
        <v>66</v>
      </c>
    </row>
    <row r="480" spans="1:2" ht="18">
      <c r="A480" s="187" t="s">
        <v>675</v>
      </c>
      <c r="B480" s="185" t="s">
        <v>1077</v>
      </c>
    </row>
    <row r="481" spans="1:2" ht="18">
      <c r="A481" s="185" t="s">
        <v>676</v>
      </c>
      <c r="B481" s="185" t="s">
        <v>677</v>
      </c>
    </row>
    <row r="482" spans="1:2" ht="18">
      <c r="A482" s="185" t="s">
        <v>678</v>
      </c>
      <c r="B482" s="185" t="s">
        <v>679</v>
      </c>
    </row>
    <row r="483" spans="1:2" ht="18">
      <c r="A483" s="185" t="s">
        <v>680</v>
      </c>
      <c r="B483" s="185" t="s">
        <v>681</v>
      </c>
    </row>
    <row r="484" spans="1:2" ht="18">
      <c r="A484" s="185" t="s">
        <v>682</v>
      </c>
      <c r="B484" s="185" t="s">
        <v>683</v>
      </c>
    </row>
    <row r="485" spans="1:2" ht="18">
      <c r="A485" s="185" t="s">
        <v>684</v>
      </c>
      <c r="B485" s="185" t="s">
        <v>1078</v>
      </c>
    </row>
    <row r="486" spans="1:2" ht="18">
      <c r="A486" s="185" t="s">
        <v>685</v>
      </c>
      <c r="B486" s="185" t="s">
        <v>68</v>
      </c>
    </row>
    <row r="487" spans="1:2" ht="18">
      <c r="A487" s="185" t="s">
        <v>686</v>
      </c>
      <c r="B487" s="185" t="s">
        <v>687</v>
      </c>
    </row>
    <row r="488" spans="1:2" ht="18">
      <c r="A488" s="185" t="s">
        <v>688</v>
      </c>
      <c r="B488" s="185" t="s">
        <v>689</v>
      </c>
    </row>
    <row r="489" spans="1:2" ht="18">
      <c r="A489" s="185" t="s">
        <v>690</v>
      </c>
      <c r="B489" s="185" t="s">
        <v>1079</v>
      </c>
    </row>
    <row r="490" spans="1:2" ht="18">
      <c r="A490" s="185" t="s">
        <v>691</v>
      </c>
      <c r="B490" s="185" t="s">
        <v>1080</v>
      </c>
    </row>
    <row r="491" spans="1:2" ht="18">
      <c r="A491" s="185" t="s">
        <v>692</v>
      </c>
      <c r="B491" s="185" t="s">
        <v>1081</v>
      </c>
    </row>
    <row r="492" spans="1:2" ht="18">
      <c r="A492" s="185" t="s">
        <v>693</v>
      </c>
      <c r="B492" s="185" t="s">
        <v>1082</v>
      </c>
    </row>
    <row r="493" spans="1:2" ht="18">
      <c r="A493" s="235">
        <v>957</v>
      </c>
      <c r="B493" s="185" t="s">
        <v>694</v>
      </c>
    </row>
    <row r="494" spans="1:2" ht="18">
      <c r="A494" s="185" t="s">
        <v>695</v>
      </c>
      <c r="B494" s="185" t="s">
        <v>1083</v>
      </c>
    </row>
    <row r="495" spans="1:2" ht="18">
      <c r="A495" s="185" t="s">
        <v>696</v>
      </c>
      <c r="B495" s="185" t="s">
        <v>1084</v>
      </c>
    </row>
    <row r="496" spans="1:2" ht="18">
      <c r="A496" s="185" t="s">
        <v>697</v>
      </c>
      <c r="B496" s="185" t="s">
        <v>74</v>
      </c>
    </row>
    <row r="497" spans="1:2" ht="18">
      <c r="A497" s="235">
        <v>968</v>
      </c>
      <c r="B497" s="185" t="s">
        <v>1104</v>
      </c>
    </row>
    <row r="498" spans="1:2" ht="18">
      <c r="A498" s="185" t="s">
        <v>707</v>
      </c>
      <c r="B498" s="185" t="s">
        <v>1085</v>
      </c>
    </row>
    <row r="499" spans="1:2" ht="18">
      <c r="A499" s="185" t="s">
        <v>709</v>
      </c>
      <c r="B499" s="185" t="s">
        <v>1058</v>
      </c>
    </row>
    <row r="500" spans="1:2" ht="18">
      <c r="A500" s="185" t="s">
        <v>710</v>
      </c>
      <c r="B500" s="185" t="s">
        <v>1086</v>
      </c>
    </row>
    <row r="501" spans="1:2" ht="18">
      <c r="A501" s="185" t="s">
        <v>712</v>
      </c>
      <c r="B501" s="185" t="s">
        <v>713</v>
      </c>
    </row>
    <row r="502" spans="1:2" ht="18">
      <c r="A502" s="185" t="s">
        <v>714</v>
      </c>
      <c r="B502" s="185" t="s">
        <v>135</v>
      </c>
    </row>
    <row r="503" spans="1:2" ht="18">
      <c r="A503" s="185" t="s">
        <v>715</v>
      </c>
      <c r="B503" s="185" t="s">
        <v>716</v>
      </c>
    </row>
    <row r="504" spans="1:2" ht="18">
      <c r="A504" s="185" t="s">
        <v>717</v>
      </c>
      <c r="B504" s="185" t="s">
        <v>718</v>
      </c>
    </row>
    <row r="505" spans="1:2" ht="18">
      <c r="A505" s="185" t="s">
        <v>719</v>
      </c>
      <c r="B505" s="185" t="s">
        <v>726</v>
      </c>
    </row>
    <row r="506" spans="1:2" ht="18">
      <c r="A506" s="185" t="s">
        <v>721</v>
      </c>
      <c r="B506" s="185" t="s">
        <v>722</v>
      </c>
    </row>
    <row r="507" spans="1:2" ht="18">
      <c r="A507" s="185" t="s">
        <v>723</v>
      </c>
      <c r="B507" s="185" t="s">
        <v>1087</v>
      </c>
    </row>
    <row r="508" spans="1:2" ht="18">
      <c r="A508" s="185" t="s">
        <v>725</v>
      </c>
      <c r="B508" s="185" t="s">
        <v>726</v>
      </c>
    </row>
    <row r="509" spans="1:2" ht="18">
      <c r="A509" s="185" t="s">
        <v>727</v>
      </c>
      <c r="B509" s="185" t="s">
        <v>1088</v>
      </c>
    </row>
    <row r="510" spans="1:2" ht="18">
      <c r="A510" s="185" t="s">
        <v>729</v>
      </c>
      <c r="B510" s="185" t="s">
        <v>1089</v>
      </c>
    </row>
    <row r="511" spans="1:2" ht="18">
      <c r="A511" s="185" t="s">
        <v>731</v>
      </c>
      <c r="B511" s="185" t="s">
        <v>732</v>
      </c>
    </row>
    <row r="512" spans="1:2" ht="18">
      <c r="A512" s="185" t="s">
        <v>733</v>
      </c>
      <c r="B512" s="185" t="s">
        <v>734</v>
      </c>
    </row>
    <row r="513" spans="1:2" ht="18">
      <c r="A513" s="185" t="s">
        <v>735</v>
      </c>
      <c r="B513" s="185" t="s">
        <v>736</v>
      </c>
    </row>
    <row r="514" spans="1:2" ht="18">
      <c r="A514" s="185" t="s">
        <v>737</v>
      </c>
      <c r="B514" s="185" t="s">
        <v>738</v>
      </c>
    </row>
    <row r="515" spans="1:2" ht="18">
      <c r="A515" s="185" t="s">
        <v>739</v>
      </c>
      <c r="B515" s="185" t="s">
        <v>740</v>
      </c>
    </row>
    <row r="516" spans="1:2" ht="18">
      <c r="A516" s="185" t="s">
        <v>741</v>
      </c>
      <c r="B516" s="185" t="s">
        <v>742</v>
      </c>
    </row>
    <row r="517" spans="1:2" ht="18">
      <c r="A517" s="184" t="s">
        <v>697</v>
      </c>
      <c r="B517" s="191" t="s">
        <v>74</v>
      </c>
    </row>
    <row r="518" spans="1:2" ht="18">
      <c r="A518" s="184" t="s">
        <v>698</v>
      </c>
      <c r="B518" s="191" t="s">
        <v>694</v>
      </c>
    </row>
    <row r="519" spans="1:2" ht="18">
      <c r="A519" s="184" t="s">
        <v>699</v>
      </c>
      <c r="B519" s="191" t="s">
        <v>694</v>
      </c>
    </row>
    <row r="520" spans="1:2" ht="18">
      <c r="A520" s="184" t="s">
        <v>700</v>
      </c>
      <c r="B520" s="191" t="s">
        <v>694</v>
      </c>
    </row>
    <row r="521" spans="1:2" ht="18">
      <c r="A521" s="184" t="s">
        <v>701</v>
      </c>
      <c r="B521" s="191" t="s">
        <v>694</v>
      </c>
    </row>
    <row r="522" spans="1:2" ht="18">
      <c r="A522" s="184" t="s">
        <v>702</v>
      </c>
      <c r="B522" s="191" t="s">
        <v>694</v>
      </c>
    </row>
    <row r="523" spans="1:2" ht="18">
      <c r="A523" s="184" t="s">
        <v>703</v>
      </c>
      <c r="B523" s="191" t="s">
        <v>694</v>
      </c>
    </row>
    <row r="524" spans="1:2" ht="18">
      <c r="A524" s="184" t="s">
        <v>704</v>
      </c>
      <c r="B524" s="191" t="s">
        <v>694</v>
      </c>
    </row>
    <row r="525" spans="1:2" ht="18">
      <c r="A525" s="184" t="s">
        <v>705</v>
      </c>
      <c r="B525" s="191" t="s">
        <v>706</v>
      </c>
    </row>
    <row r="526" spans="1:2" ht="18">
      <c r="A526" s="184" t="s">
        <v>707</v>
      </c>
      <c r="B526" s="191" t="s">
        <v>708</v>
      </c>
    </row>
    <row r="527" spans="1:2" ht="18">
      <c r="A527" s="184" t="s">
        <v>709</v>
      </c>
      <c r="B527" s="191" t="s">
        <v>657</v>
      </c>
    </row>
    <row r="528" spans="1:2" ht="18">
      <c r="A528" s="184" t="s">
        <v>710</v>
      </c>
      <c r="B528" s="191" t="s">
        <v>711</v>
      </c>
    </row>
    <row r="529" spans="1:2" ht="18">
      <c r="A529" s="184" t="s">
        <v>712</v>
      </c>
      <c r="B529" s="191" t="s">
        <v>713</v>
      </c>
    </row>
    <row r="530" spans="1:2" ht="18">
      <c r="A530" s="184" t="s">
        <v>714</v>
      </c>
      <c r="B530" s="191" t="s">
        <v>135</v>
      </c>
    </row>
    <row r="531" spans="1:2" ht="18">
      <c r="A531" s="184" t="s">
        <v>715</v>
      </c>
      <c r="B531" s="191" t="s">
        <v>716</v>
      </c>
    </row>
    <row r="532" spans="1:2" ht="18">
      <c r="A532" s="184" t="s">
        <v>717</v>
      </c>
      <c r="B532" s="191" t="s">
        <v>718</v>
      </c>
    </row>
    <row r="533" spans="1:2" ht="18">
      <c r="A533" s="184" t="s">
        <v>719</v>
      </c>
      <c r="B533" s="191" t="s">
        <v>720</v>
      </c>
    </row>
    <row r="534" spans="1:2" ht="18">
      <c r="A534" s="184" t="s">
        <v>721</v>
      </c>
      <c r="B534" s="191" t="s">
        <v>722</v>
      </c>
    </row>
    <row r="535" spans="1:2" ht="30">
      <c r="A535" s="184" t="s">
        <v>723</v>
      </c>
      <c r="B535" s="191" t="s">
        <v>724</v>
      </c>
    </row>
    <row r="536" spans="1:2" ht="18">
      <c r="A536" s="184" t="s">
        <v>725</v>
      </c>
      <c r="B536" s="191" t="s">
        <v>726</v>
      </c>
    </row>
    <row r="537" spans="1:2" ht="18">
      <c r="A537" s="184" t="s">
        <v>727</v>
      </c>
      <c r="B537" s="191" t="s">
        <v>728</v>
      </c>
    </row>
    <row r="538" spans="1:2" ht="18">
      <c r="A538" s="184" t="s">
        <v>729</v>
      </c>
      <c r="B538" s="191" t="s">
        <v>730</v>
      </c>
    </row>
    <row r="539" spans="1:2" ht="18">
      <c r="A539" s="184" t="s">
        <v>731</v>
      </c>
      <c r="B539" s="191" t="s">
        <v>732</v>
      </c>
    </row>
    <row r="540" spans="1:2" ht="18">
      <c r="A540" s="184" t="s">
        <v>733</v>
      </c>
      <c r="B540" s="191" t="s">
        <v>734</v>
      </c>
    </row>
    <row r="541" spans="1:2" ht="18">
      <c r="A541" s="184" t="s">
        <v>735</v>
      </c>
      <c r="B541" s="191" t="s">
        <v>736</v>
      </c>
    </row>
    <row r="542" spans="1:2" ht="18">
      <c r="A542" s="184" t="s">
        <v>737</v>
      </c>
      <c r="B542" s="191" t="s">
        <v>738</v>
      </c>
    </row>
    <row r="543" spans="1:2" ht="18">
      <c r="A543" s="184" t="s">
        <v>739</v>
      </c>
      <c r="B543" s="191" t="s">
        <v>740</v>
      </c>
    </row>
    <row r="544" spans="1:2" ht="18">
      <c r="A544" s="184" t="s">
        <v>741</v>
      </c>
      <c r="B544" s="191" t="s">
        <v>742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2:I33"/>
  <sheetViews>
    <sheetView workbookViewId="0">
      <selection activeCell="E18" sqref="E18"/>
    </sheetView>
  </sheetViews>
  <sheetFormatPr defaultColWidth="11.42578125" defaultRowHeight="15"/>
  <cols>
    <col min="1" max="1" width="20.140625" style="75" customWidth="1"/>
    <col min="2" max="2" width="16.28515625" style="75" customWidth="1"/>
    <col min="3" max="3" width="52.42578125" style="75" customWidth="1"/>
    <col min="4" max="4" width="0.7109375" style="75" customWidth="1"/>
    <col min="5" max="9" width="15.7109375" style="75" customWidth="1"/>
    <col min="10" max="256" width="11.42578125" style="76"/>
    <col min="257" max="257" width="20.140625" style="76" customWidth="1"/>
    <col min="258" max="258" width="16.28515625" style="76" customWidth="1"/>
    <col min="259" max="259" width="52.42578125" style="76" customWidth="1"/>
    <col min="260" max="260" width="0.7109375" style="76" customWidth="1"/>
    <col min="261" max="265" width="15.7109375" style="76" customWidth="1"/>
    <col min="266" max="512" width="11.42578125" style="76"/>
    <col min="513" max="513" width="20.140625" style="76" customWidth="1"/>
    <col min="514" max="514" width="16.28515625" style="76" customWidth="1"/>
    <col min="515" max="515" width="52.42578125" style="76" customWidth="1"/>
    <col min="516" max="516" width="0.7109375" style="76" customWidth="1"/>
    <col min="517" max="521" width="15.7109375" style="76" customWidth="1"/>
    <col min="522" max="768" width="11.42578125" style="76"/>
    <col min="769" max="769" width="20.140625" style="76" customWidth="1"/>
    <col min="770" max="770" width="16.28515625" style="76" customWidth="1"/>
    <col min="771" max="771" width="52.42578125" style="76" customWidth="1"/>
    <col min="772" max="772" width="0.7109375" style="76" customWidth="1"/>
    <col min="773" max="777" width="15.7109375" style="76" customWidth="1"/>
    <col min="778" max="1024" width="11.42578125" style="76"/>
    <col min="1025" max="1025" width="20.140625" style="76" customWidth="1"/>
    <col min="1026" max="1026" width="16.28515625" style="76" customWidth="1"/>
    <col min="1027" max="1027" width="52.42578125" style="76" customWidth="1"/>
    <col min="1028" max="1028" width="0.7109375" style="76" customWidth="1"/>
    <col min="1029" max="1033" width="15.7109375" style="76" customWidth="1"/>
    <col min="1034" max="1280" width="11.42578125" style="76"/>
    <col min="1281" max="1281" width="20.140625" style="76" customWidth="1"/>
    <col min="1282" max="1282" width="16.28515625" style="76" customWidth="1"/>
    <col min="1283" max="1283" width="52.42578125" style="76" customWidth="1"/>
    <col min="1284" max="1284" width="0.7109375" style="76" customWidth="1"/>
    <col min="1285" max="1289" width="15.7109375" style="76" customWidth="1"/>
    <col min="1290" max="1536" width="11.42578125" style="76"/>
    <col min="1537" max="1537" width="20.140625" style="76" customWidth="1"/>
    <col min="1538" max="1538" width="16.28515625" style="76" customWidth="1"/>
    <col min="1539" max="1539" width="52.42578125" style="76" customWidth="1"/>
    <col min="1540" max="1540" width="0.7109375" style="76" customWidth="1"/>
    <col min="1541" max="1545" width="15.7109375" style="76" customWidth="1"/>
    <col min="1546" max="1792" width="11.42578125" style="76"/>
    <col min="1793" max="1793" width="20.140625" style="76" customWidth="1"/>
    <col min="1794" max="1794" width="16.28515625" style="76" customWidth="1"/>
    <col min="1795" max="1795" width="52.42578125" style="76" customWidth="1"/>
    <col min="1796" max="1796" width="0.7109375" style="76" customWidth="1"/>
    <col min="1797" max="1801" width="15.7109375" style="76" customWidth="1"/>
    <col min="1802" max="2048" width="11.42578125" style="76"/>
    <col min="2049" max="2049" width="20.140625" style="76" customWidth="1"/>
    <col min="2050" max="2050" width="16.28515625" style="76" customWidth="1"/>
    <col min="2051" max="2051" width="52.42578125" style="76" customWidth="1"/>
    <col min="2052" max="2052" width="0.7109375" style="76" customWidth="1"/>
    <col min="2053" max="2057" width="15.7109375" style="76" customWidth="1"/>
    <col min="2058" max="2304" width="11.42578125" style="76"/>
    <col min="2305" max="2305" width="20.140625" style="76" customWidth="1"/>
    <col min="2306" max="2306" width="16.28515625" style="76" customWidth="1"/>
    <col min="2307" max="2307" width="52.42578125" style="76" customWidth="1"/>
    <col min="2308" max="2308" width="0.7109375" style="76" customWidth="1"/>
    <col min="2309" max="2313" width="15.7109375" style="76" customWidth="1"/>
    <col min="2314" max="2560" width="11.42578125" style="76"/>
    <col min="2561" max="2561" width="20.140625" style="76" customWidth="1"/>
    <col min="2562" max="2562" width="16.28515625" style="76" customWidth="1"/>
    <col min="2563" max="2563" width="52.42578125" style="76" customWidth="1"/>
    <col min="2564" max="2564" width="0.7109375" style="76" customWidth="1"/>
    <col min="2565" max="2569" width="15.7109375" style="76" customWidth="1"/>
    <col min="2570" max="2816" width="11.42578125" style="76"/>
    <col min="2817" max="2817" width="20.140625" style="76" customWidth="1"/>
    <col min="2818" max="2818" width="16.28515625" style="76" customWidth="1"/>
    <col min="2819" max="2819" width="52.42578125" style="76" customWidth="1"/>
    <col min="2820" max="2820" width="0.7109375" style="76" customWidth="1"/>
    <col min="2821" max="2825" width="15.7109375" style="76" customWidth="1"/>
    <col min="2826" max="3072" width="11.42578125" style="76"/>
    <col min="3073" max="3073" width="20.140625" style="76" customWidth="1"/>
    <col min="3074" max="3074" width="16.28515625" style="76" customWidth="1"/>
    <col min="3075" max="3075" width="52.42578125" style="76" customWidth="1"/>
    <col min="3076" max="3076" width="0.7109375" style="76" customWidth="1"/>
    <col min="3077" max="3081" width="15.7109375" style="76" customWidth="1"/>
    <col min="3082" max="3328" width="11.42578125" style="76"/>
    <col min="3329" max="3329" width="20.140625" style="76" customWidth="1"/>
    <col min="3330" max="3330" width="16.28515625" style="76" customWidth="1"/>
    <col min="3331" max="3331" width="52.42578125" style="76" customWidth="1"/>
    <col min="3332" max="3332" width="0.7109375" style="76" customWidth="1"/>
    <col min="3333" max="3337" width="15.7109375" style="76" customWidth="1"/>
    <col min="3338" max="3584" width="11.42578125" style="76"/>
    <col min="3585" max="3585" width="20.140625" style="76" customWidth="1"/>
    <col min="3586" max="3586" width="16.28515625" style="76" customWidth="1"/>
    <col min="3587" max="3587" width="52.42578125" style="76" customWidth="1"/>
    <col min="3588" max="3588" width="0.7109375" style="76" customWidth="1"/>
    <col min="3589" max="3593" width="15.7109375" style="76" customWidth="1"/>
    <col min="3594" max="3840" width="11.42578125" style="76"/>
    <col min="3841" max="3841" width="20.140625" style="76" customWidth="1"/>
    <col min="3842" max="3842" width="16.28515625" style="76" customWidth="1"/>
    <col min="3843" max="3843" width="52.42578125" style="76" customWidth="1"/>
    <col min="3844" max="3844" width="0.7109375" style="76" customWidth="1"/>
    <col min="3845" max="3849" width="15.7109375" style="76" customWidth="1"/>
    <col min="3850" max="4096" width="11.42578125" style="76"/>
    <col min="4097" max="4097" width="20.140625" style="76" customWidth="1"/>
    <col min="4098" max="4098" width="16.28515625" style="76" customWidth="1"/>
    <col min="4099" max="4099" width="52.42578125" style="76" customWidth="1"/>
    <col min="4100" max="4100" width="0.7109375" style="76" customWidth="1"/>
    <col min="4101" max="4105" width="15.7109375" style="76" customWidth="1"/>
    <col min="4106" max="4352" width="11.42578125" style="76"/>
    <col min="4353" max="4353" width="20.140625" style="76" customWidth="1"/>
    <col min="4354" max="4354" width="16.28515625" style="76" customWidth="1"/>
    <col min="4355" max="4355" width="52.42578125" style="76" customWidth="1"/>
    <col min="4356" max="4356" width="0.7109375" style="76" customWidth="1"/>
    <col min="4357" max="4361" width="15.7109375" style="76" customWidth="1"/>
    <col min="4362" max="4608" width="11.42578125" style="76"/>
    <col min="4609" max="4609" width="20.140625" style="76" customWidth="1"/>
    <col min="4610" max="4610" width="16.28515625" style="76" customWidth="1"/>
    <col min="4611" max="4611" width="52.42578125" style="76" customWidth="1"/>
    <col min="4612" max="4612" width="0.7109375" style="76" customWidth="1"/>
    <col min="4613" max="4617" width="15.7109375" style="76" customWidth="1"/>
    <col min="4618" max="4864" width="11.42578125" style="76"/>
    <col min="4865" max="4865" width="20.140625" style="76" customWidth="1"/>
    <col min="4866" max="4866" width="16.28515625" style="76" customWidth="1"/>
    <col min="4867" max="4867" width="52.42578125" style="76" customWidth="1"/>
    <col min="4868" max="4868" width="0.7109375" style="76" customWidth="1"/>
    <col min="4869" max="4873" width="15.7109375" style="76" customWidth="1"/>
    <col min="4874" max="5120" width="11.42578125" style="76"/>
    <col min="5121" max="5121" width="20.140625" style="76" customWidth="1"/>
    <col min="5122" max="5122" width="16.28515625" style="76" customWidth="1"/>
    <col min="5123" max="5123" width="52.42578125" style="76" customWidth="1"/>
    <col min="5124" max="5124" width="0.7109375" style="76" customWidth="1"/>
    <col min="5125" max="5129" width="15.7109375" style="76" customWidth="1"/>
    <col min="5130" max="5376" width="11.42578125" style="76"/>
    <col min="5377" max="5377" width="20.140625" style="76" customWidth="1"/>
    <col min="5378" max="5378" width="16.28515625" style="76" customWidth="1"/>
    <col min="5379" max="5379" width="52.42578125" style="76" customWidth="1"/>
    <col min="5380" max="5380" width="0.7109375" style="76" customWidth="1"/>
    <col min="5381" max="5385" width="15.7109375" style="76" customWidth="1"/>
    <col min="5386" max="5632" width="11.42578125" style="76"/>
    <col min="5633" max="5633" width="20.140625" style="76" customWidth="1"/>
    <col min="5634" max="5634" width="16.28515625" style="76" customWidth="1"/>
    <col min="5635" max="5635" width="52.42578125" style="76" customWidth="1"/>
    <col min="5636" max="5636" width="0.7109375" style="76" customWidth="1"/>
    <col min="5637" max="5641" width="15.7109375" style="76" customWidth="1"/>
    <col min="5642" max="5888" width="11.42578125" style="76"/>
    <col min="5889" max="5889" width="20.140625" style="76" customWidth="1"/>
    <col min="5890" max="5890" width="16.28515625" style="76" customWidth="1"/>
    <col min="5891" max="5891" width="52.42578125" style="76" customWidth="1"/>
    <col min="5892" max="5892" width="0.7109375" style="76" customWidth="1"/>
    <col min="5893" max="5897" width="15.7109375" style="76" customWidth="1"/>
    <col min="5898" max="6144" width="11.42578125" style="76"/>
    <col min="6145" max="6145" width="20.140625" style="76" customWidth="1"/>
    <col min="6146" max="6146" width="16.28515625" style="76" customWidth="1"/>
    <col min="6147" max="6147" width="52.42578125" style="76" customWidth="1"/>
    <col min="6148" max="6148" width="0.7109375" style="76" customWidth="1"/>
    <col min="6149" max="6153" width="15.7109375" style="76" customWidth="1"/>
    <col min="6154" max="6400" width="11.42578125" style="76"/>
    <col min="6401" max="6401" width="20.140625" style="76" customWidth="1"/>
    <col min="6402" max="6402" width="16.28515625" style="76" customWidth="1"/>
    <col min="6403" max="6403" width="52.42578125" style="76" customWidth="1"/>
    <col min="6404" max="6404" width="0.7109375" style="76" customWidth="1"/>
    <col min="6405" max="6409" width="15.7109375" style="76" customWidth="1"/>
    <col min="6410" max="6656" width="11.42578125" style="76"/>
    <col min="6657" max="6657" width="20.140625" style="76" customWidth="1"/>
    <col min="6658" max="6658" width="16.28515625" style="76" customWidth="1"/>
    <col min="6659" max="6659" width="52.42578125" style="76" customWidth="1"/>
    <col min="6660" max="6660" width="0.7109375" style="76" customWidth="1"/>
    <col min="6661" max="6665" width="15.7109375" style="76" customWidth="1"/>
    <col min="6666" max="6912" width="11.42578125" style="76"/>
    <col min="6913" max="6913" width="20.140625" style="76" customWidth="1"/>
    <col min="6914" max="6914" width="16.28515625" style="76" customWidth="1"/>
    <col min="6915" max="6915" width="52.42578125" style="76" customWidth="1"/>
    <col min="6916" max="6916" width="0.7109375" style="76" customWidth="1"/>
    <col min="6917" max="6921" width="15.7109375" style="76" customWidth="1"/>
    <col min="6922" max="7168" width="11.42578125" style="76"/>
    <col min="7169" max="7169" width="20.140625" style="76" customWidth="1"/>
    <col min="7170" max="7170" width="16.28515625" style="76" customWidth="1"/>
    <col min="7171" max="7171" width="52.42578125" style="76" customWidth="1"/>
    <col min="7172" max="7172" width="0.7109375" style="76" customWidth="1"/>
    <col min="7173" max="7177" width="15.7109375" style="76" customWidth="1"/>
    <col min="7178" max="7424" width="11.42578125" style="76"/>
    <col min="7425" max="7425" width="20.140625" style="76" customWidth="1"/>
    <col min="7426" max="7426" width="16.28515625" style="76" customWidth="1"/>
    <col min="7427" max="7427" width="52.42578125" style="76" customWidth="1"/>
    <col min="7428" max="7428" width="0.7109375" style="76" customWidth="1"/>
    <col min="7429" max="7433" width="15.7109375" style="76" customWidth="1"/>
    <col min="7434" max="7680" width="11.42578125" style="76"/>
    <col min="7681" max="7681" width="20.140625" style="76" customWidth="1"/>
    <col min="7682" max="7682" width="16.28515625" style="76" customWidth="1"/>
    <col min="7683" max="7683" width="52.42578125" style="76" customWidth="1"/>
    <col min="7684" max="7684" width="0.7109375" style="76" customWidth="1"/>
    <col min="7685" max="7689" width="15.7109375" style="76" customWidth="1"/>
    <col min="7690" max="7936" width="11.42578125" style="76"/>
    <col min="7937" max="7937" width="20.140625" style="76" customWidth="1"/>
    <col min="7938" max="7938" width="16.28515625" style="76" customWidth="1"/>
    <col min="7939" max="7939" width="52.42578125" style="76" customWidth="1"/>
    <col min="7940" max="7940" width="0.7109375" style="76" customWidth="1"/>
    <col min="7941" max="7945" width="15.7109375" style="76" customWidth="1"/>
    <col min="7946" max="8192" width="11.42578125" style="76"/>
    <col min="8193" max="8193" width="20.140625" style="76" customWidth="1"/>
    <col min="8194" max="8194" width="16.28515625" style="76" customWidth="1"/>
    <col min="8195" max="8195" width="52.42578125" style="76" customWidth="1"/>
    <col min="8196" max="8196" width="0.7109375" style="76" customWidth="1"/>
    <col min="8197" max="8201" width="15.7109375" style="76" customWidth="1"/>
    <col min="8202" max="8448" width="11.42578125" style="76"/>
    <col min="8449" max="8449" width="20.140625" style="76" customWidth="1"/>
    <col min="8450" max="8450" width="16.28515625" style="76" customWidth="1"/>
    <col min="8451" max="8451" width="52.42578125" style="76" customWidth="1"/>
    <col min="8452" max="8452" width="0.7109375" style="76" customWidth="1"/>
    <col min="8453" max="8457" width="15.7109375" style="76" customWidth="1"/>
    <col min="8458" max="8704" width="11.42578125" style="76"/>
    <col min="8705" max="8705" width="20.140625" style="76" customWidth="1"/>
    <col min="8706" max="8706" width="16.28515625" style="76" customWidth="1"/>
    <col min="8707" max="8707" width="52.42578125" style="76" customWidth="1"/>
    <col min="8708" max="8708" width="0.7109375" style="76" customWidth="1"/>
    <col min="8709" max="8713" width="15.7109375" style="76" customWidth="1"/>
    <col min="8714" max="8960" width="11.42578125" style="76"/>
    <col min="8961" max="8961" width="20.140625" style="76" customWidth="1"/>
    <col min="8962" max="8962" width="16.28515625" style="76" customWidth="1"/>
    <col min="8963" max="8963" width="52.42578125" style="76" customWidth="1"/>
    <col min="8964" max="8964" width="0.7109375" style="76" customWidth="1"/>
    <col min="8965" max="8969" width="15.7109375" style="76" customWidth="1"/>
    <col min="8970" max="9216" width="11.42578125" style="76"/>
    <col min="9217" max="9217" width="20.140625" style="76" customWidth="1"/>
    <col min="9218" max="9218" width="16.28515625" style="76" customWidth="1"/>
    <col min="9219" max="9219" width="52.42578125" style="76" customWidth="1"/>
    <col min="9220" max="9220" width="0.7109375" style="76" customWidth="1"/>
    <col min="9221" max="9225" width="15.7109375" style="76" customWidth="1"/>
    <col min="9226" max="9472" width="11.42578125" style="76"/>
    <col min="9473" max="9473" width="20.140625" style="76" customWidth="1"/>
    <col min="9474" max="9474" width="16.28515625" style="76" customWidth="1"/>
    <col min="9475" max="9475" width="52.42578125" style="76" customWidth="1"/>
    <col min="9476" max="9476" width="0.7109375" style="76" customWidth="1"/>
    <col min="9477" max="9481" width="15.7109375" style="76" customWidth="1"/>
    <col min="9482" max="9728" width="11.42578125" style="76"/>
    <col min="9729" max="9729" width="20.140625" style="76" customWidth="1"/>
    <col min="9730" max="9730" width="16.28515625" style="76" customWidth="1"/>
    <col min="9731" max="9731" width="52.42578125" style="76" customWidth="1"/>
    <col min="9732" max="9732" width="0.7109375" style="76" customWidth="1"/>
    <col min="9733" max="9737" width="15.7109375" style="76" customWidth="1"/>
    <col min="9738" max="9984" width="11.42578125" style="76"/>
    <col min="9985" max="9985" width="20.140625" style="76" customWidth="1"/>
    <col min="9986" max="9986" width="16.28515625" style="76" customWidth="1"/>
    <col min="9987" max="9987" width="52.42578125" style="76" customWidth="1"/>
    <col min="9988" max="9988" width="0.7109375" style="76" customWidth="1"/>
    <col min="9989" max="9993" width="15.7109375" style="76" customWidth="1"/>
    <col min="9994" max="10240" width="11.42578125" style="76"/>
    <col min="10241" max="10241" width="20.140625" style="76" customWidth="1"/>
    <col min="10242" max="10242" width="16.28515625" style="76" customWidth="1"/>
    <col min="10243" max="10243" width="52.42578125" style="76" customWidth="1"/>
    <col min="10244" max="10244" width="0.7109375" style="76" customWidth="1"/>
    <col min="10245" max="10249" width="15.7109375" style="76" customWidth="1"/>
    <col min="10250" max="10496" width="11.42578125" style="76"/>
    <col min="10497" max="10497" width="20.140625" style="76" customWidth="1"/>
    <col min="10498" max="10498" width="16.28515625" style="76" customWidth="1"/>
    <col min="10499" max="10499" width="52.42578125" style="76" customWidth="1"/>
    <col min="10500" max="10500" width="0.7109375" style="76" customWidth="1"/>
    <col min="10501" max="10505" width="15.7109375" style="76" customWidth="1"/>
    <col min="10506" max="10752" width="11.42578125" style="76"/>
    <col min="10753" max="10753" width="20.140625" style="76" customWidth="1"/>
    <col min="10754" max="10754" width="16.28515625" style="76" customWidth="1"/>
    <col min="10755" max="10755" width="52.42578125" style="76" customWidth="1"/>
    <col min="10756" max="10756" width="0.7109375" style="76" customWidth="1"/>
    <col min="10757" max="10761" width="15.7109375" style="76" customWidth="1"/>
    <col min="10762" max="11008" width="11.42578125" style="76"/>
    <col min="11009" max="11009" width="20.140625" style="76" customWidth="1"/>
    <col min="11010" max="11010" width="16.28515625" style="76" customWidth="1"/>
    <col min="11011" max="11011" width="52.42578125" style="76" customWidth="1"/>
    <col min="11012" max="11012" width="0.7109375" style="76" customWidth="1"/>
    <col min="11013" max="11017" width="15.7109375" style="76" customWidth="1"/>
    <col min="11018" max="11264" width="11.42578125" style="76"/>
    <col min="11265" max="11265" width="20.140625" style="76" customWidth="1"/>
    <col min="11266" max="11266" width="16.28515625" style="76" customWidth="1"/>
    <col min="11267" max="11267" width="52.42578125" style="76" customWidth="1"/>
    <col min="11268" max="11268" width="0.7109375" style="76" customWidth="1"/>
    <col min="11269" max="11273" width="15.7109375" style="76" customWidth="1"/>
    <col min="11274" max="11520" width="11.42578125" style="76"/>
    <col min="11521" max="11521" width="20.140625" style="76" customWidth="1"/>
    <col min="11522" max="11522" width="16.28515625" style="76" customWidth="1"/>
    <col min="11523" max="11523" width="52.42578125" style="76" customWidth="1"/>
    <col min="11524" max="11524" width="0.7109375" style="76" customWidth="1"/>
    <col min="11525" max="11529" width="15.7109375" style="76" customWidth="1"/>
    <col min="11530" max="11776" width="11.42578125" style="76"/>
    <col min="11777" max="11777" width="20.140625" style="76" customWidth="1"/>
    <col min="11778" max="11778" width="16.28515625" style="76" customWidth="1"/>
    <col min="11779" max="11779" width="52.42578125" style="76" customWidth="1"/>
    <col min="11780" max="11780" width="0.7109375" style="76" customWidth="1"/>
    <col min="11781" max="11785" width="15.7109375" style="76" customWidth="1"/>
    <col min="11786" max="12032" width="11.42578125" style="76"/>
    <col min="12033" max="12033" width="20.140625" style="76" customWidth="1"/>
    <col min="12034" max="12034" width="16.28515625" style="76" customWidth="1"/>
    <col min="12035" max="12035" width="52.42578125" style="76" customWidth="1"/>
    <col min="12036" max="12036" width="0.7109375" style="76" customWidth="1"/>
    <col min="12037" max="12041" width="15.7109375" style="76" customWidth="1"/>
    <col min="12042" max="12288" width="11.42578125" style="76"/>
    <col min="12289" max="12289" width="20.140625" style="76" customWidth="1"/>
    <col min="12290" max="12290" width="16.28515625" style="76" customWidth="1"/>
    <col min="12291" max="12291" width="52.42578125" style="76" customWidth="1"/>
    <col min="12292" max="12292" width="0.7109375" style="76" customWidth="1"/>
    <col min="12293" max="12297" width="15.7109375" style="76" customWidth="1"/>
    <col min="12298" max="12544" width="11.42578125" style="76"/>
    <col min="12545" max="12545" width="20.140625" style="76" customWidth="1"/>
    <col min="12546" max="12546" width="16.28515625" style="76" customWidth="1"/>
    <col min="12547" max="12547" width="52.42578125" style="76" customWidth="1"/>
    <col min="12548" max="12548" width="0.7109375" style="76" customWidth="1"/>
    <col min="12549" max="12553" width="15.7109375" style="76" customWidth="1"/>
    <col min="12554" max="12800" width="11.42578125" style="76"/>
    <col min="12801" max="12801" width="20.140625" style="76" customWidth="1"/>
    <col min="12802" max="12802" width="16.28515625" style="76" customWidth="1"/>
    <col min="12803" max="12803" width="52.42578125" style="76" customWidth="1"/>
    <col min="12804" max="12804" width="0.7109375" style="76" customWidth="1"/>
    <col min="12805" max="12809" width="15.7109375" style="76" customWidth="1"/>
    <col min="12810" max="13056" width="11.42578125" style="76"/>
    <col min="13057" max="13057" width="20.140625" style="76" customWidth="1"/>
    <col min="13058" max="13058" width="16.28515625" style="76" customWidth="1"/>
    <col min="13059" max="13059" width="52.42578125" style="76" customWidth="1"/>
    <col min="13060" max="13060" width="0.7109375" style="76" customWidth="1"/>
    <col min="13061" max="13065" width="15.7109375" style="76" customWidth="1"/>
    <col min="13066" max="13312" width="11.42578125" style="76"/>
    <col min="13313" max="13313" width="20.140625" style="76" customWidth="1"/>
    <col min="13314" max="13314" width="16.28515625" style="76" customWidth="1"/>
    <col min="13315" max="13315" width="52.42578125" style="76" customWidth="1"/>
    <col min="13316" max="13316" width="0.7109375" style="76" customWidth="1"/>
    <col min="13317" max="13321" width="15.7109375" style="76" customWidth="1"/>
    <col min="13322" max="13568" width="11.42578125" style="76"/>
    <col min="13569" max="13569" width="20.140625" style="76" customWidth="1"/>
    <col min="13570" max="13570" width="16.28515625" style="76" customWidth="1"/>
    <col min="13571" max="13571" width="52.42578125" style="76" customWidth="1"/>
    <col min="13572" max="13572" width="0.7109375" style="76" customWidth="1"/>
    <col min="13573" max="13577" width="15.7109375" style="76" customWidth="1"/>
    <col min="13578" max="13824" width="11.42578125" style="76"/>
    <col min="13825" max="13825" width="20.140625" style="76" customWidth="1"/>
    <col min="13826" max="13826" width="16.28515625" style="76" customWidth="1"/>
    <col min="13827" max="13827" width="52.42578125" style="76" customWidth="1"/>
    <col min="13828" max="13828" width="0.7109375" style="76" customWidth="1"/>
    <col min="13829" max="13833" width="15.7109375" style="76" customWidth="1"/>
    <col min="13834" max="14080" width="11.42578125" style="76"/>
    <col min="14081" max="14081" width="20.140625" style="76" customWidth="1"/>
    <col min="14082" max="14082" width="16.28515625" style="76" customWidth="1"/>
    <col min="14083" max="14083" width="52.42578125" style="76" customWidth="1"/>
    <col min="14084" max="14084" width="0.7109375" style="76" customWidth="1"/>
    <col min="14085" max="14089" width="15.7109375" style="76" customWidth="1"/>
    <col min="14090" max="14336" width="11.42578125" style="76"/>
    <col min="14337" max="14337" width="20.140625" style="76" customWidth="1"/>
    <col min="14338" max="14338" width="16.28515625" style="76" customWidth="1"/>
    <col min="14339" max="14339" width="52.42578125" style="76" customWidth="1"/>
    <col min="14340" max="14340" width="0.7109375" style="76" customWidth="1"/>
    <col min="14341" max="14345" width="15.7109375" style="76" customWidth="1"/>
    <col min="14346" max="14592" width="11.42578125" style="76"/>
    <col min="14593" max="14593" width="20.140625" style="76" customWidth="1"/>
    <col min="14594" max="14594" width="16.28515625" style="76" customWidth="1"/>
    <col min="14595" max="14595" width="52.42578125" style="76" customWidth="1"/>
    <col min="14596" max="14596" width="0.7109375" style="76" customWidth="1"/>
    <col min="14597" max="14601" width="15.7109375" style="76" customWidth="1"/>
    <col min="14602" max="14848" width="11.42578125" style="76"/>
    <col min="14849" max="14849" width="20.140625" style="76" customWidth="1"/>
    <col min="14850" max="14850" width="16.28515625" style="76" customWidth="1"/>
    <col min="14851" max="14851" width="52.42578125" style="76" customWidth="1"/>
    <col min="14852" max="14852" width="0.7109375" style="76" customWidth="1"/>
    <col min="14853" max="14857" width="15.7109375" style="76" customWidth="1"/>
    <col min="14858" max="15104" width="11.42578125" style="76"/>
    <col min="15105" max="15105" width="20.140625" style="76" customWidth="1"/>
    <col min="15106" max="15106" width="16.28515625" style="76" customWidth="1"/>
    <col min="15107" max="15107" width="52.42578125" style="76" customWidth="1"/>
    <col min="15108" max="15108" width="0.7109375" style="76" customWidth="1"/>
    <col min="15109" max="15113" width="15.7109375" style="76" customWidth="1"/>
    <col min="15114" max="15360" width="11.42578125" style="76"/>
    <col min="15361" max="15361" width="20.140625" style="76" customWidth="1"/>
    <col min="15362" max="15362" width="16.28515625" style="76" customWidth="1"/>
    <col min="15363" max="15363" width="52.42578125" style="76" customWidth="1"/>
    <col min="15364" max="15364" width="0.7109375" style="76" customWidth="1"/>
    <col min="15365" max="15369" width="15.7109375" style="76" customWidth="1"/>
    <col min="15370" max="15616" width="11.42578125" style="76"/>
    <col min="15617" max="15617" width="20.140625" style="76" customWidth="1"/>
    <col min="15618" max="15618" width="16.28515625" style="76" customWidth="1"/>
    <col min="15619" max="15619" width="52.42578125" style="76" customWidth="1"/>
    <col min="15620" max="15620" width="0.7109375" style="76" customWidth="1"/>
    <col min="15621" max="15625" width="15.7109375" style="76" customWidth="1"/>
    <col min="15626" max="15872" width="11.42578125" style="76"/>
    <col min="15873" max="15873" width="20.140625" style="76" customWidth="1"/>
    <col min="15874" max="15874" width="16.28515625" style="76" customWidth="1"/>
    <col min="15875" max="15875" width="52.42578125" style="76" customWidth="1"/>
    <col min="15876" max="15876" width="0.7109375" style="76" customWidth="1"/>
    <col min="15877" max="15881" width="15.7109375" style="76" customWidth="1"/>
    <col min="15882" max="16128" width="11.42578125" style="76"/>
    <col min="16129" max="16129" width="20.140625" style="76" customWidth="1"/>
    <col min="16130" max="16130" width="16.28515625" style="76" customWidth="1"/>
    <col min="16131" max="16131" width="52.42578125" style="76" customWidth="1"/>
    <col min="16132" max="16132" width="0.7109375" style="76" customWidth="1"/>
    <col min="16133" max="16137" width="15.7109375" style="76" customWidth="1"/>
    <col min="16138" max="16384" width="11.42578125" style="76"/>
  </cols>
  <sheetData>
    <row r="2" spans="1:6">
      <c r="A2" s="75" t="s">
        <v>743</v>
      </c>
    </row>
    <row r="3" spans="1:6" ht="11.1" customHeight="1"/>
    <row r="4" spans="1:6">
      <c r="C4" s="77" t="s">
        <v>744</v>
      </c>
    </row>
    <row r="5" spans="1:6" ht="11.1" customHeight="1"/>
    <row r="6" spans="1:6">
      <c r="B6" s="75" t="s">
        <v>745</v>
      </c>
      <c r="F6" s="75" t="s">
        <v>745</v>
      </c>
    </row>
    <row r="7" spans="1:6">
      <c r="B7" s="75" t="s">
        <v>746</v>
      </c>
      <c r="F7" s="75" t="s">
        <v>746</v>
      </c>
    </row>
    <row r="8" spans="1:6">
      <c r="B8" s="75" t="s">
        <v>747</v>
      </c>
      <c r="F8" s="75" t="s">
        <v>748</v>
      </c>
    </row>
    <row r="10" spans="1:6">
      <c r="A10" s="75" t="s">
        <v>749</v>
      </c>
      <c r="E10" s="75" t="s">
        <v>749</v>
      </c>
    </row>
    <row r="11" spans="1:6">
      <c r="A11" s="75" t="s">
        <v>749</v>
      </c>
      <c r="E11" s="75" t="s">
        <v>749</v>
      </c>
    </row>
    <row r="12" spans="1:6">
      <c r="B12" s="75" t="s">
        <v>750</v>
      </c>
      <c r="F12" s="75" t="s">
        <v>750</v>
      </c>
    </row>
    <row r="14" spans="1:6">
      <c r="C14" s="78" t="s">
        <v>751</v>
      </c>
    </row>
    <row r="15" spans="1:6">
      <c r="C15" s="77" t="s">
        <v>752</v>
      </c>
      <c r="E15" s="79">
        <f ca="1">NOW()</f>
        <v>42405.034134606482</v>
      </c>
      <c r="F15" s="75" t="s">
        <v>753</v>
      </c>
    </row>
    <row r="17" spans="1:6">
      <c r="A17" s="75" t="s">
        <v>754</v>
      </c>
      <c r="B17" s="80"/>
      <c r="C17" s="77" t="s">
        <v>755</v>
      </c>
      <c r="E17" s="79">
        <f ca="1">NOW()</f>
        <v>42405.034134606482</v>
      </c>
      <c r="F17" s="75" t="s">
        <v>756</v>
      </c>
    </row>
    <row r="18" spans="1:6">
      <c r="C18" s="77" t="s">
        <v>757</v>
      </c>
      <c r="E18" s="81" t="e">
        <f>#REF!</f>
        <v>#REF!</v>
      </c>
      <c r="F18" s="75" t="s">
        <v>758</v>
      </c>
    </row>
    <row r="19" spans="1:6">
      <c r="C19" s="75" t="s">
        <v>759</v>
      </c>
    </row>
    <row r="22" spans="1:6">
      <c r="F22" s="75" t="s">
        <v>760</v>
      </c>
    </row>
    <row r="23" spans="1:6">
      <c r="F23" s="75" t="s">
        <v>761</v>
      </c>
    </row>
    <row r="27" spans="1:6">
      <c r="A27" s="75" t="s">
        <v>762</v>
      </c>
      <c r="F27" s="75" t="s">
        <v>763</v>
      </c>
    </row>
    <row r="28" spans="1:6">
      <c r="A28" s="75" t="s">
        <v>764</v>
      </c>
    </row>
    <row r="29" spans="1:6">
      <c r="A29" s="75" t="s">
        <v>764</v>
      </c>
    </row>
    <row r="30" spans="1:6">
      <c r="A30" s="75" t="s">
        <v>764</v>
      </c>
    </row>
    <row r="32" spans="1:6">
      <c r="F32" s="75" t="s">
        <v>761</v>
      </c>
    </row>
    <row r="33" spans="6:6">
      <c r="F33" s="75" t="s">
        <v>765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B15" sqref="B15"/>
    </sheetView>
  </sheetViews>
  <sheetFormatPr defaultRowHeight="1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topLeftCell="A7" workbookViewId="0">
      <selection activeCell="R3" sqref="R3"/>
    </sheetView>
  </sheetViews>
  <sheetFormatPr defaultRowHeight="15"/>
  <sheetData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>
    <tabs>
      <tab id="CustomTab" label="Finansijsko Knjigovodstvo" insertAfterMso="TabDeveloper">
        <group id="SimpleControls1" label="Nalog">
          <button id="MenuButton1" label="Novi nalog" imageMso="TableStyleClear" size="large" onAction="ThisWorkbook.Novinalog_fin"/>
          <button id="MenuButton2" label="Dodaj redove" imageMso="FillMenu" size="large" onAction="ThisWorkbook.Dodavanje_fin_nalog"/>
          <button id="MenuButton3" label="Oduzmi redove" imageMso="FillUp" size="large" onAction="ThisWorkbook.Oduzimanje_fin_nalog"/>
        </group>
        <group id="SimpleControls2" label="Knjizenje">
          <button id="MenuButton5" label="Otvaranje finansijske kartice" imageMso="ReviewShowAllComments" size="large" onAction="ThisWorkbook.Otvaranje"/>
          <button id="MenuButton6" label="Knjizenje" imageMso="AccountMenu" size="large" onAction="ThisWorkbook.knjizenje_fin"/>
        </group>
        <group id="SimpleControls3" label="Finansijska evidencija">
          <button id="MenuButton7" label="Dnevnik" imageMso="PivotTableBlankRowsInsert" size="large" onAction="ThisWorkbook.FIN_dnevnik"/>
          <button id="MenuButton8" label="Glavna knjiga" imageMso="FunctionsFinancialInsertGallery" size="large" onAction="ThisWorkbook.FIN_glavnuknj"/>
        </group>
        <group id="SimpleControls4" label="Novcani tokovi">
          <menu id="Nested1" label="Priliv" itemSize="large">
            <button id="MenuButton9" label="Planirani priliv" imageMso="InternationalCurrency" onAction="ThisWorkbook.FIN_uliv"/>
            <button id="MenuButton10" label="Dodaj redove" imageMso="OutlineExpand" onAction="ThisWorkbook.Dodavanje_uliv"/>
            <button id="MenuButton11" label="Oduzmi red" imageMso="OutlineCollapse" onAction="ThisWorkbook.Oduzimanje_uliv"/>
          </menu>
          <menu id="Nested2" label="Odliv" itemSize="large">
            <button id="MenuButton12" label="Planirani odliv" imageMso="InternationalCurrency" onAction="ThisWorkbook.FIN_odliv"/>
            <button id="MenuButton13" label="Dodaj redove" imageMso="OutlineExpand" onAction="ThisWorkbook.Dodavanje_odliv"/>
            <button id="MenuButton14" label="Oduzmi red" imageMso="OutlineCollapse" onAction="ThisWorkbook.Oduzimanje_odliv"/>
          </menu>
          <button id="MenuButton15" label="Grafik likvidnosti" imageMso="ChartDepthGridlines" size="large" onAction="ThisWorkbook.Graf_lik"/>
          <button id="MenuButton16" label="Grafik priliva" imageMso="ChartLegend" size="large" onAction="ThisWorkbook.Graf_pril"/>
        </group>
        <group id="SimpleControls5" label="Analize">
          <button id="MenuButton17" label="Komitenti" imageMso="RssShareThisFeed" size="large" onAction="ThisWorkbook.FIN_komiten"/>
          <button id="MenuButton18" label="Otvorene stavke" imageMso="WindowSideBySide" size="large" onAction="ThisWorkbook.Stavke_fin"/>
          <button id="MenuButton19" label="IOS" imageMso="ShowNotesPage" size="large" onAction="ThisWorkbook.FIN_ios"/>
        </group>
        <group id="SimpleControls6" label="Bruto stanje">
          <button id="MenuButton20" label="Prikaz bruto stanja" imageMso="TableOfContentsDialog" onAction="ThisWorkbook.FIN_bruto"/>
          <button id="MenuButton21" label="Izradi bruto stanje" imageMso="TableStyleTotalsRow" onAction="ThisWorkbook.Bruto_fin"/>
          <button id="MenuButton22" label="Novi bruto list" imageMso="ReviewEditComment" onAction="ThisWorkbook.NoviBruto"/>
        </group>
        <group id="SimpleControls7" label="Pomocne opcije">
          <button id="MenuButton4" label="Kontni plan" imageMso="PivotTableLayoutShowInOutlineForm" size="large" onAction="ThisWorkbook.FIN_konplan"/>
          <button id="MenuButton23" label="Uputstvo" imageMso="PivotTableLayoutShowInOutlineForm" size="large" onAction="ThisWorkbook.uputstvo"/>
        </group>
      </tab>
      <tab id="CustomTab111f" label="Program" insertAfterMso="TabFinansijsko_knjigovodstvo">
        <group id="SimpleControls11f" label="Povratak na glavni meni">
          <button id="MenuButton21f" label="Glavni meni" imageMso="TableEffectsCellBevelGallery" size="large" onAction="Module1.MENI"/>
        </group>
        <group id="SimpleControls12f" label="Opcije">
          <button id="MenuButton22f" label="Materijalno knjigovodstvo" imageMso="_3DMaterialMetal" size="large" onAction="Module1.MATERIJALNO"/>
          <button id="MenuButton24f" label="Kalkulacije" imageMso="TableStyleTotalsRow" size="large" onAction="Module1.KALKULACIJE"/>
          <button id="MenuButton23f" label="Osnovna sredstva" imageMso="OpenStartPage" size="large" onAction="Module1.OSNOVNA"/>
          <button id="MenuButton25f" label="Zarade" imageMso="AccessListContacts" size="large" onAction="Module1.ZARAD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NALOG</vt:lpstr>
      <vt:lpstr>MATRICA</vt:lpstr>
      <vt:lpstr>DNEVNIK</vt:lpstr>
      <vt:lpstr>GLKNJIGA</vt:lpstr>
      <vt:lpstr>DUGOVI</vt:lpstr>
      <vt:lpstr>KOMITE</vt:lpstr>
      <vt:lpstr>BRUTO</vt:lpstr>
      <vt:lpstr>BRUTOM</vt:lpstr>
      <vt:lpstr>ULIV</vt:lpstr>
      <vt:lpstr>ODLIV</vt:lpstr>
      <vt:lpstr>KONPLAN</vt:lpstr>
      <vt:lpstr>IOS</vt:lpstr>
      <vt:lpstr>OCPRIL</vt:lpstr>
      <vt:lpstr>OCODLIV</vt:lpstr>
      <vt:lpstr>BRUTO!Criteria</vt:lpstr>
      <vt:lpstr>BRUTO!Extract</vt:lpstr>
      <vt:lpstr>plan0</vt:lpstr>
      <vt:lpstr>plan1</vt:lpstr>
      <vt:lpstr>plan2</vt:lpstr>
      <vt:lpstr>plan3</vt:lpstr>
      <vt:lpstr>plan4</vt:lpstr>
      <vt:lpstr>plan5</vt:lpstr>
      <vt:lpstr>plan6</vt:lpstr>
      <vt:lpstr>plan7</vt:lpstr>
      <vt:lpstr>plan8</vt:lpstr>
      <vt:lpstr>plan9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Milan</dc:creator>
  <cp:lastModifiedBy>rs</cp:lastModifiedBy>
  <dcterms:created xsi:type="dcterms:W3CDTF">2011-01-10T14:47:27Z</dcterms:created>
  <dcterms:modified xsi:type="dcterms:W3CDTF">2016-02-04T23:49:09Z</dcterms:modified>
</cp:coreProperties>
</file>