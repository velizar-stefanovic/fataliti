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20" windowWidth="15480" windowHeight="11640" activeTab="2"/>
  </bookViews>
  <sheets>
    <sheet name="MATRICA" sheetId="1" r:id="rId1"/>
    <sheet name="KALNAB" sheetId="2" r:id="rId2"/>
    <sheet name="KALPROD" sheetId="3" r:id="rId3"/>
  </sheets>
  <calcPr calcId="125725"/>
</workbook>
</file>

<file path=xl/calcChain.xml><?xml version="1.0" encoding="utf-8"?>
<calcChain xmlns="http://schemas.openxmlformats.org/spreadsheetml/2006/main">
  <c r="X19" i="3"/>
  <c r="N19"/>
  <c r="W17"/>
  <c r="O17"/>
  <c r="P17" s="1"/>
  <c r="C17"/>
  <c r="B17"/>
  <c r="V17" s="1"/>
  <c r="A17"/>
  <c r="U17" s="1"/>
  <c r="I20" i="2"/>
  <c r="H20"/>
  <c r="F20"/>
  <c r="J20" s="1"/>
  <c r="K20" s="1"/>
  <c r="J19"/>
  <c r="K19" s="1"/>
  <c r="I19"/>
  <c r="H19"/>
  <c r="F19"/>
  <c r="I18"/>
  <c r="H18"/>
  <c r="F18"/>
  <c r="I17"/>
  <c r="H17"/>
  <c r="F17"/>
  <c r="J17" s="1"/>
  <c r="K17" s="1"/>
  <c r="I16"/>
  <c r="H16"/>
  <c r="F16"/>
  <c r="J16" s="1"/>
  <c r="K16" s="1"/>
  <c r="I15"/>
  <c r="H15"/>
  <c r="F15"/>
  <c r="J15" s="1"/>
  <c r="K15" s="1"/>
  <c r="I14"/>
  <c r="H14"/>
  <c r="F14"/>
  <c r="J14" s="1"/>
  <c r="K14" s="1"/>
  <c r="I13"/>
  <c r="H13"/>
  <c r="F13"/>
  <c r="J13" s="1"/>
  <c r="K13" s="1"/>
  <c r="G22"/>
  <c r="M12" s="1"/>
  <c r="H17" i="1"/>
  <c r="I17" s="1"/>
  <c r="H16"/>
  <c r="I16" s="1"/>
  <c r="H15"/>
  <c r="I15" s="1"/>
  <c r="H14"/>
  <c r="I14" s="1"/>
  <c r="H13"/>
  <c r="I13" s="1"/>
  <c r="H12"/>
  <c r="I12" s="1"/>
  <c r="H11"/>
  <c r="I11" s="1"/>
  <c r="A12" i="3"/>
  <c r="L12" s="1"/>
  <c r="I7" i="1"/>
  <c r="C20"/>
  <c r="I19" i="3"/>
  <c r="W16"/>
  <c r="O16"/>
  <c r="P16" s="1"/>
  <c r="C16"/>
  <c r="B16"/>
  <c r="V16" s="1"/>
  <c r="A16"/>
  <c r="U16" s="1"/>
  <c r="W15"/>
  <c r="O15"/>
  <c r="P15" s="1"/>
  <c r="C15"/>
  <c r="B15"/>
  <c r="V15" s="1"/>
  <c r="A15"/>
  <c r="U15" s="1"/>
  <c r="W14"/>
  <c r="O14"/>
  <c r="P14" s="1"/>
  <c r="C14"/>
  <c r="B14"/>
  <c r="V14" s="1"/>
  <c r="A14"/>
  <c r="U14" s="1"/>
  <c r="W13"/>
  <c r="O13"/>
  <c r="P13" s="1"/>
  <c r="C13"/>
  <c r="B13"/>
  <c r="V13" s="1"/>
  <c r="A13"/>
  <c r="U13" s="1"/>
  <c r="W12"/>
  <c r="W19" s="1"/>
  <c r="O12"/>
  <c r="C12"/>
  <c r="B12"/>
  <c r="V12" s="1"/>
  <c r="V10"/>
  <c r="U10"/>
  <c r="T10"/>
  <c r="S10"/>
  <c r="M10"/>
  <c r="L10"/>
  <c r="U12" i="2"/>
  <c r="F12"/>
  <c r="U12" i="3" l="1"/>
  <c r="U19" s="1"/>
  <c r="V19"/>
  <c r="O19"/>
  <c r="R17"/>
  <c r="Q17" s="1"/>
  <c r="L17"/>
  <c r="K17" s="1"/>
  <c r="M17"/>
  <c r="T17" s="1"/>
  <c r="L15"/>
  <c r="L13"/>
  <c r="M16"/>
  <c r="T16" s="1"/>
  <c r="M14"/>
  <c r="L16"/>
  <c r="L14"/>
  <c r="M12"/>
  <c r="M15"/>
  <c r="T15" s="1"/>
  <c r="M13"/>
  <c r="T13" s="1"/>
  <c r="J18" i="2"/>
  <c r="K18" s="1"/>
  <c r="F22"/>
  <c r="N12" s="1"/>
  <c r="I19" i="1"/>
  <c r="S12" i="3"/>
  <c r="R12"/>
  <c r="R13"/>
  <c r="Q13" s="1"/>
  <c r="R14"/>
  <c r="Q14" s="1"/>
  <c r="R15"/>
  <c r="Q15" s="1"/>
  <c r="R16"/>
  <c r="Q16" s="1"/>
  <c r="P12"/>
  <c r="P19" s="1"/>
  <c r="T14"/>
  <c r="L19" l="1"/>
  <c r="R19"/>
  <c r="M19"/>
  <c r="S17"/>
  <c r="V12" i="2"/>
  <c r="H12"/>
  <c r="I12" s="1"/>
  <c r="J12" s="1"/>
  <c r="K12" s="1"/>
  <c r="K22" s="1"/>
  <c r="Q12" i="3"/>
  <c r="Q19" s="1"/>
  <c r="K16"/>
  <c r="K15"/>
  <c r="K14"/>
  <c r="K13"/>
  <c r="S16"/>
  <c r="S15"/>
  <c r="S14"/>
  <c r="S13"/>
  <c r="T12"/>
  <c r="T19" s="1"/>
  <c r="K12"/>
  <c r="K19" l="1"/>
  <c r="S19"/>
</calcChain>
</file>

<file path=xl/sharedStrings.xml><?xml version="1.0" encoding="utf-8"?>
<sst xmlns="http://schemas.openxmlformats.org/spreadsheetml/2006/main" count="132" uniqueCount="116">
  <si>
    <t xml:space="preserve">I  </t>
  </si>
  <si>
    <t>УКУПНА КАЛКУЛАЦИЈА НАБАВНЕ ЦЕНЕ</t>
  </si>
  <si>
    <t>Број калкулације:</t>
  </si>
  <si>
    <t>Роба примљена од:</t>
  </si>
  <si>
    <t>по документу</t>
  </si>
  <si>
    <t xml:space="preserve">II  </t>
  </si>
  <si>
    <t>ПОЈЕДИНАЧНА КАЛКУЛАЦИЈА НАБАВНЕ ЦЕНЕ АРТИКЛА</t>
  </si>
  <si>
    <t>Вредност робе по</t>
  </si>
  <si>
    <t>ЗАВИСНИ ТРОШКОВИ НАБАКЕ</t>
  </si>
  <si>
    <t>Цена у ЕУР</t>
  </si>
  <si>
    <t>Зависни трошкови</t>
  </si>
  <si>
    <t>Јединична</t>
  </si>
  <si>
    <t>Набавна</t>
  </si>
  <si>
    <t>фактури добављача</t>
  </si>
  <si>
    <t>Транспорт</t>
  </si>
  <si>
    <t>Осигурање</t>
  </si>
  <si>
    <t>Трансопорт</t>
  </si>
  <si>
    <t>Посеб.трошк.</t>
  </si>
  <si>
    <t>Ред. бр</t>
  </si>
  <si>
    <t>Шифра артикла</t>
  </si>
  <si>
    <t>НАЗИВ АРТИКЛА</t>
  </si>
  <si>
    <t>Количина</t>
  </si>
  <si>
    <t>Цена добављача</t>
  </si>
  <si>
    <t>%</t>
  </si>
  <si>
    <t>Износ</t>
  </si>
  <si>
    <t>набавна цена    (6+9)</t>
  </si>
  <si>
    <t>вредност  (5x10)</t>
  </si>
  <si>
    <t>у ЕУР-има</t>
  </si>
  <si>
    <t>у динарима</t>
  </si>
  <si>
    <t>Утовара Истовара</t>
  </si>
  <si>
    <t>од гран. до стов. купца</t>
  </si>
  <si>
    <t>робе у транспорту</t>
  </si>
  <si>
    <t>кало, квар и лом робе</t>
  </si>
  <si>
    <t>паковања и транспорта</t>
  </si>
  <si>
    <t>Провизија банке</t>
  </si>
  <si>
    <t>Укупно      од 2 до 7</t>
  </si>
  <si>
    <t>вредност    (1+8)</t>
  </si>
  <si>
    <t>1a</t>
  </si>
  <si>
    <t>1</t>
  </si>
  <si>
    <t>2</t>
  </si>
  <si>
    <t>3</t>
  </si>
  <si>
    <t>4</t>
  </si>
  <si>
    <t>5</t>
  </si>
  <si>
    <t>6</t>
  </si>
  <si>
    <t>7</t>
  </si>
  <si>
    <t>8</t>
  </si>
  <si>
    <t>9</t>
  </si>
  <si>
    <t xml:space="preserve"> </t>
  </si>
  <si>
    <t>Предузеће за производњу, трговину и пружање услуга</t>
  </si>
  <si>
    <t>|\014</t>
  </si>
  <si>
    <t>Продавница бр:</t>
  </si>
  <si>
    <t>КАЛКУЛАЦИЈА ПРОДАЈНЕ ЦЕНЕ РОБЕ:</t>
  </si>
  <si>
    <t>Пореске стопе</t>
  </si>
  <si>
    <t>Озн. стопе</t>
  </si>
  <si>
    <t>Ред. број</t>
  </si>
  <si>
    <t>Шифра робе</t>
  </si>
  <si>
    <t>Н А З И В  Р О Б Е</t>
  </si>
  <si>
    <t>Јед. мере</t>
  </si>
  <si>
    <t>Јединична набавна</t>
  </si>
  <si>
    <t>Набавна вредност</t>
  </si>
  <si>
    <t>Обрачунат порез од претходног учесника</t>
  </si>
  <si>
    <t>Разлика у цени</t>
  </si>
  <si>
    <t>Прод. вредн. без пореза</t>
  </si>
  <si>
    <t>Порез за уплату</t>
  </si>
  <si>
    <t>Укупно обрачунат порез</t>
  </si>
  <si>
    <t>Продајна вредност</t>
  </si>
  <si>
    <t>Продајна цена</t>
  </si>
  <si>
    <t>цена</t>
  </si>
  <si>
    <t>са порезом</t>
  </si>
  <si>
    <t>(5x6)</t>
  </si>
  <si>
    <t>(9x10):100</t>
  </si>
  <si>
    <t>(9+11)</t>
  </si>
  <si>
    <t>(12+14)</t>
  </si>
  <si>
    <t>(15:5)</t>
  </si>
  <si>
    <t>a</t>
  </si>
  <si>
    <t>b</t>
  </si>
  <si>
    <t>c</t>
  </si>
  <si>
    <t>8a</t>
  </si>
  <si>
    <t>8b</t>
  </si>
  <si>
    <t>8c</t>
  </si>
  <si>
    <t>10</t>
  </si>
  <si>
    <t>11</t>
  </si>
  <si>
    <t>12</t>
  </si>
  <si>
    <t>13a</t>
  </si>
  <si>
    <t>13b</t>
  </si>
  <si>
    <t>14a</t>
  </si>
  <si>
    <t>14b</t>
  </si>
  <si>
    <t>15</t>
  </si>
  <si>
    <t>16</t>
  </si>
  <si>
    <t/>
  </si>
  <si>
    <t>УКУПНО:</t>
  </si>
  <si>
    <t>РАДНИ НАЛОГ:</t>
  </si>
  <si>
    <t>НАЗИВ ПРОИЗВОДА:</t>
  </si>
  <si>
    <t>ШИФРА ПРОИЗВОДА:</t>
  </si>
  <si>
    <t>ЈЕДИНИЧНА</t>
  </si>
  <si>
    <t>ОБИМ ПРОИЗВОДЊЕ:</t>
  </si>
  <si>
    <t>Ј.М.:</t>
  </si>
  <si>
    <t>ЦЕНА КОШТАЊА</t>
  </si>
  <si>
    <t>Р.бр.</t>
  </si>
  <si>
    <t>Датум</t>
  </si>
  <si>
    <t>Назив утрошка</t>
  </si>
  <si>
    <t>Шифра</t>
  </si>
  <si>
    <t>Ј.М.</t>
  </si>
  <si>
    <t>Цена</t>
  </si>
  <si>
    <t>Норма на.:</t>
  </si>
  <si>
    <t>Утрошено</t>
  </si>
  <si>
    <t>Вредност</t>
  </si>
  <si>
    <t>Датум отварања налога:</t>
  </si>
  <si>
    <t>Датум обраде налога:</t>
  </si>
  <si>
    <t>Руководилац</t>
  </si>
  <si>
    <t>22</t>
  </si>
  <si>
    <t>КАЛКУЛАЦИЈА ЦЕНЕ КОШТАЊА ПРОИЗВОДА:</t>
  </si>
  <si>
    <t>Врста предузећа:</t>
  </si>
  <si>
    <t>Предузеће:</t>
  </si>
  <si>
    <t>По документу:</t>
  </si>
  <si>
    <t>Датума:</t>
  </si>
</sst>
</file>

<file path=xl/styles.xml><?xml version="1.0" encoding="utf-8"?>
<styleSheet xmlns="http://schemas.openxmlformats.org/spreadsheetml/2006/main">
  <numFmts count="4">
    <numFmt numFmtId="164" formatCode="dd/mm/yyyy;@"/>
    <numFmt numFmtId="165" formatCode="#,##0.00;\(#,##0.00\)"/>
    <numFmt numFmtId="166" formatCode=";;;"/>
    <numFmt numFmtId="167" formatCode="0.0000"/>
  </numFmts>
  <fonts count="7">
    <font>
      <sz val="11"/>
      <color theme="1"/>
      <name val="Calibri"/>
      <family val="2"/>
      <charset val="238"/>
      <scheme val="minor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Arial"/>
      <family val="2"/>
    </font>
    <font>
      <b/>
      <sz val="12"/>
      <name val="Times New Roman"/>
      <family val="1"/>
    </font>
    <font>
      <sz val="12"/>
      <name val="Arial"/>
      <family val="2"/>
    </font>
    <font>
      <sz val="10"/>
      <name val="YUTAJM"/>
    </font>
  </fonts>
  <fills count="6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/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64"/>
      </bottom>
      <diagonal/>
    </border>
    <border>
      <left style="medium">
        <color indexed="8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0" fontId="1" fillId="0" borderId="0"/>
    <xf numFmtId="0" fontId="5" fillId="0" borderId="0"/>
    <xf numFmtId="0" fontId="6" fillId="0" borderId="0"/>
  </cellStyleXfs>
  <cellXfs count="208">
    <xf numFmtId="0" fontId="0" fillId="0" borderId="0" xfId="0"/>
    <xf numFmtId="0" fontId="2" fillId="0" borderId="0" xfId="1" applyFont="1"/>
    <xf numFmtId="0" fontId="2" fillId="0" borderId="0" xfId="1" applyNumberFormat="1" applyFont="1" applyAlignment="1"/>
    <xf numFmtId="0" fontId="3" fillId="0" borderId="0" xfId="1" applyFont="1" applyBorder="1" applyAlignment="1">
      <alignment horizontal="right"/>
    </xf>
    <xf numFmtId="0" fontId="4" fillId="0" borderId="0" xfId="1" applyNumberFormat="1" applyFont="1" applyBorder="1" applyAlignment="1"/>
    <xf numFmtId="0" fontId="2" fillId="0" borderId="0" xfId="1" applyNumberFormat="1" applyFont="1" applyBorder="1" applyAlignment="1"/>
    <xf numFmtId="0" fontId="3" fillId="0" borderId="0" xfId="1" applyFont="1"/>
    <xf numFmtId="0" fontId="4" fillId="0" borderId="0" xfId="1" applyNumberFormat="1" applyFont="1" applyAlignment="1">
      <alignment horizontal="right"/>
    </xf>
    <xf numFmtId="0" fontId="4" fillId="0" borderId="0" xfId="1" applyNumberFormat="1" applyFont="1" applyAlignment="1"/>
    <xf numFmtId="0" fontId="2" fillId="0" borderId="0" xfId="1" applyNumberFormat="1" applyFont="1" applyAlignment="1">
      <alignment horizontal="fill"/>
    </xf>
    <xf numFmtId="0" fontId="2" fillId="0" borderId="0" xfId="1" applyFont="1" applyBorder="1"/>
    <xf numFmtId="0" fontId="2" fillId="0" borderId="3" xfId="1" applyNumberFormat="1" applyFont="1" applyBorder="1" applyAlignment="1">
      <alignment horizontal="fill"/>
    </xf>
    <xf numFmtId="0" fontId="2" fillId="0" borderId="4" xfId="1" applyNumberFormat="1" applyFont="1" applyBorder="1" applyAlignment="1">
      <alignment horizontal="fill"/>
    </xf>
    <xf numFmtId="0" fontId="4" fillId="0" borderId="5" xfId="1" applyNumberFormat="1" applyFont="1" applyBorder="1" applyAlignment="1">
      <alignment horizontal="center"/>
    </xf>
    <xf numFmtId="0" fontId="4" fillId="0" borderId="7" xfId="1" applyNumberFormat="1" applyFont="1" applyBorder="1" applyAlignment="1"/>
    <xf numFmtId="0" fontId="4" fillId="0" borderId="6" xfId="1" applyNumberFormat="1" applyFont="1" applyBorder="1" applyAlignment="1">
      <alignment horizontal="center"/>
    </xf>
    <xf numFmtId="4" fontId="2" fillId="0" borderId="0" xfId="1" applyNumberFormat="1" applyFont="1" applyAlignment="1"/>
    <xf numFmtId="0" fontId="4" fillId="0" borderId="10" xfId="1" applyNumberFormat="1" applyFont="1" applyBorder="1" applyAlignment="1">
      <alignment horizontal="center"/>
    </xf>
    <xf numFmtId="0" fontId="4" fillId="0" borderId="10" xfId="1" quotePrefix="1" applyNumberFormat="1" applyFont="1" applyBorder="1" applyAlignment="1">
      <alignment horizontal="center"/>
    </xf>
    <xf numFmtId="0" fontId="4" fillId="0" borderId="11" xfId="1" applyNumberFormat="1" applyFont="1" applyBorder="1" applyAlignment="1">
      <alignment horizontal="center"/>
    </xf>
    <xf numFmtId="0" fontId="4" fillId="0" borderId="12" xfId="1" quotePrefix="1" applyNumberFormat="1" applyFont="1" applyBorder="1" applyAlignment="1">
      <alignment horizontal="center" wrapText="1"/>
    </xf>
    <xf numFmtId="0" fontId="4" fillId="0" borderId="7" xfId="1" applyNumberFormat="1" applyFont="1" applyBorder="1" applyAlignment="1">
      <alignment horizontal="center"/>
    </xf>
    <xf numFmtId="0" fontId="4" fillId="0" borderId="7" xfId="1" quotePrefix="1" applyNumberFormat="1" applyFont="1" applyBorder="1" applyAlignment="1">
      <alignment horizontal="center"/>
    </xf>
    <xf numFmtId="0" fontId="4" fillId="0" borderId="11" xfId="1" quotePrefix="1" applyNumberFormat="1" applyFont="1" applyBorder="1" applyAlignment="1">
      <alignment horizontal="center" wrapText="1"/>
    </xf>
    <xf numFmtId="0" fontId="4" fillId="0" borderId="13" xfId="1" applyNumberFormat="1" applyFont="1" applyBorder="1" applyAlignment="1">
      <alignment horizontal="center" vertical="center" wrapText="1"/>
    </xf>
    <xf numFmtId="0" fontId="4" fillId="0" borderId="14" xfId="1" applyNumberFormat="1" applyFont="1" applyBorder="1" applyAlignment="1">
      <alignment horizontal="center" vertical="center" wrapText="1"/>
    </xf>
    <xf numFmtId="0" fontId="4" fillId="0" borderId="10" xfId="1" applyNumberFormat="1" applyFont="1" applyBorder="1" applyAlignment="1">
      <alignment horizontal="center" wrapText="1"/>
    </xf>
    <xf numFmtId="0" fontId="4" fillId="0" borderId="10" xfId="1" quotePrefix="1" applyNumberFormat="1" applyFont="1" applyBorder="1" applyAlignment="1">
      <alignment horizontal="center" wrapText="1"/>
    </xf>
    <xf numFmtId="0" fontId="4" fillId="0" borderId="10" xfId="1" quotePrefix="1" applyNumberFormat="1" applyFont="1" applyBorder="1" applyAlignment="1">
      <alignment horizontal="center" vertical="center" wrapText="1"/>
    </xf>
    <xf numFmtId="0" fontId="4" fillId="0" borderId="15" xfId="1" applyNumberFormat="1" applyFont="1" applyBorder="1" applyAlignment="1">
      <alignment horizontal="center"/>
    </xf>
    <xf numFmtId="0" fontId="4" fillId="0" borderId="17" xfId="1" applyNumberFormat="1" applyFont="1" applyBorder="1" applyAlignment="1">
      <alignment horizontal="center"/>
    </xf>
    <xf numFmtId="165" fontId="4" fillId="0" borderId="11" xfId="1" applyNumberFormat="1" applyFont="1" applyBorder="1" applyAlignment="1"/>
    <xf numFmtId="165" fontId="4" fillId="0" borderId="18" xfId="1" applyNumberFormat="1" applyFont="1" applyBorder="1" applyAlignment="1"/>
    <xf numFmtId="165" fontId="2" fillId="0" borderId="0" xfId="1" applyNumberFormat="1" applyFont="1" applyAlignment="1"/>
    <xf numFmtId="0" fontId="2" fillId="0" borderId="16" xfId="2" applyNumberFormat="1" applyFont="1" applyBorder="1" applyAlignment="1"/>
    <xf numFmtId="0" fontId="2" fillId="0" borderId="20" xfId="2" applyNumberFormat="1" applyFont="1" applyBorder="1" applyAlignment="1"/>
    <xf numFmtId="166" fontId="2" fillId="0" borderId="20" xfId="2" applyNumberFormat="1" applyFont="1" applyBorder="1" applyAlignment="1" applyProtection="1">
      <protection hidden="1"/>
    </xf>
    <xf numFmtId="0" fontId="2" fillId="0" borderId="0" xfId="2" applyFont="1"/>
    <xf numFmtId="0" fontId="2" fillId="0" borderId="10" xfId="2" applyNumberFormat="1" applyFont="1" applyBorder="1" applyAlignment="1"/>
    <xf numFmtId="0" fontId="2" fillId="0" borderId="0" xfId="2" applyNumberFormat="1" applyFont="1" applyAlignment="1"/>
    <xf numFmtId="166" fontId="2" fillId="0" borderId="0" xfId="2" applyNumberFormat="1" applyFont="1" applyAlignment="1" applyProtection="1">
      <protection hidden="1"/>
    </xf>
    <xf numFmtId="0" fontId="2" fillId="0" borderId="0" xfId="2" applyNumberFormat="1" applyFont="1" applyBorder="1" applyAlignment="1"/>
    <xf numFmtId="10" fontId="2" fillId="0" borderId="0" xfId="2" applyNumberFormat="1" applyFont="1" applyAlignment="1"/>
    <xf numFmtId="0" fontId="4" fillId="0" borderId="0" xfId="2" applyNumberFormat="1" applyFont="1" applyAlignment="1">
      <alignment horizontal="right"/>
    </xf>
    <xf numFmtId="0" fontId="2" fillId="0" borderId="0" xfId="2" applyNumberFormat="1" applyFont="1" applyAlignment="1" applyProtection="1">
      <protection hidden="1"/>
    </xf>
    <xf numFmtId="0" fontId="4" fillId="0" borderId="0" xfId="2" applyNumberFormat="1" applyFont="1" applyAlignment="1"/>
    <xf numFmtId="49" fontId="2" fillId="0" borderId="0" xfId="2" applyNumberFormat="1" applyFont="1" applyBorder="1" applyAlignment="1"/>
    <xf numFmtId="2" fontId="2" fillId="0" borderId="0" xfId="2" applyNumberFormat="1" applyFont="1" applyAlignment="1"/>
    <xf numFmtId="4" fontId="2" fillId="0" borderId="0" xfId="2" applyNumberFormat="1" applyFont="1" applyAlignment="1"/>
    <xf numFmtId="167" fontId="2" fillId="0" borderId="0" xfId="2" applyNumberFormat="1" applyFont="1" applyAlignment="1"/>
    <xf numFmtId="0" fontId="4" fillId="0" borderId="0" xfId="2" applyNumberFormat="1" applyFont="1" applyBorder="1" applyAlignment="1"/>
    <xf numFmtId="0" fontId="4" fillId="0" borderId="25" xfId="2" applyNumberFormat="1" applyFont="1" applyBorder="1" applyAlignment="1">
      <alignment horizontal="center" vertical="center" wrapText="1"/>
    </xf>
    <xf numFmtId="0" fontId="4" fillId="0" borderId="26" xfId="2" applyNumberFormat="1" applyFont="1" applyBorder="1" applyAlignment="1">
      <alignment horizontal="center" vertical="center" wrapText="1"/>
    </xf>
    <xf numFmtId="0" fontId="4" fillId="0" borderId="26" xfId="2" applyNumberFormat="1" applyFont="1" applyBorder="1" applyAlignment="1">
      <alignment horizontal="center"/>
    </xf>
    <xf numFmtId="0" fontId="4" fillId="0" borderId="25" xfId="2" applyNumberFormat="1" applyFont="1" applyBorder="1" applyAlignment="1">
      <alignment horizontal="center"/>
    </xf>
    <xf numFmtId="0" fontId="4" fillId="0" borderId="25" xfId="2" quotePrefix="1" applyNumberFormat="1" applyFont="1" applyBorder="1" applyAlignment="1">
      <alignment horizontal="center" vertical="center" wrapText="1"/>
    </xf>
    <xf numFmtId="0" fontId="4" fillId="0" borderId="2" xfId="2" applyNumberFormat="1" applyFont="1" applyBorder="1" applyAlignment="1">
      <alignment horizontal="center" vertical="center" wrapText="1"/>
    </xf>
    <xf numFmtId="0" fontId="4" fillId="0" borderId="6" xfId="2" applyNumberFormat="1" applyFont="1" applyBorder="1" applyAlignment="1">
      <alignment horizontal="center" vertical="center" wrapText="1"/>
    </xf>
    <xf numFmtId="0" fontId="2" fillId="0" borderId="0" xfId="2" applyFont="1" applyBorder="1"/>
    <xf numFmtId="0" fontId="4" fillId="0" borderId="10" xfId="2" applyNumberFormat="1" applyFont="1" applyBorder="1" applyAlignment="1"/>
    <xf numFmtId="0" fontId="4" fillId="0" borderId="31" xfId="2" applyNumberFormat="1" applyFont="1" applyBorder="1" applyAlignment="1"/>
    <xf numFmtId="4" fontId="4" fillId="0" borderId="10" xfId="2" applyNumberFormat="1" applyFont="1" applyBorder="1" applyAlignment="1">
      <alignment horizontal="center"/>
    </xf>
    <xf numFmtId="0" fontId="4" fillId="0" borderId="10" xfId="2" applyNumberFormat="1" applyFont="1" applyBorder="1" applyAlignment="1">
      <alignment horizontal="center"/>
    </xf>
    <xf numFmtId="10" fontId="4" fillId="0" borderId="32" xfId="2" applyNumberFormat="1" applyFont="1" applyBorder="1" applyAlignment="1"/>
    <xf numFmtId="10" fontId="4" fillId="0" borderId="33" xfId="2" applyNumberFormat="1" applyFont="1" applyBorder="1" applyAlignment="1"/>
    <xf numFmtId="0" fontId="4" fillId="0" borderId="31" xfId="2" quotePrefix="1" applyNumberFormat="1" applyFont="1" applyBorder="1" applyAlignment="1">
      <alignment horizontal="center"/>
    </xf>
    <xf numFmtId="10" fontId="4" fillId="0" borderId="10" xfId="2" applyNumberFormat="1" applyFont="1" applyBorder="1" applyAlignment="1"/>
    <xf numFmtId="10" fontId="4" fillId="0" borderId="31" xfId="2" applyNumberFormat="1" applyFont="1" applyBorder="1" applyAlignment="1"/>
    <xf numFmtId="0" fontId="4" fillId="0" borderId="10" xfId="2" quotePrefix="1" applyNumberFormat="1" applyFont="1" applyBorder="1" applyAlignment="1">
      <alignment horizontal="center"/>
    </xf>
    <xf numFmtId="0" fontId="4" fillId="0" borderId="11" xfId="2" quotePrefix="1" applyNumberFormat="1" applyFont="1" applyBorder="1" applyAlignment="1">
      <alignment horizontal="center"/>
    </xf>
    <xf numFmtId="0" fontId="4" fillId="0" borderId="34" xfId="2" applyNumberFormat="1" applyFont="1" applyBorder="1" applyAlignment="1">
      <alignment horizontal="center"/>
    </xf>
    <xf numFmtId="0" fontId="4" fillId="0" borderId="35" xfId="2" applyNumberFormat="1" applyFont="1" applyBorder="1" applyAlignment="1">
      <alignment horizontal="center"/>
    </xf>
    <xf numFmtId="0" fontId="4" fillId="0" borderId="37" xfId="2" applyNumberFormat="1" applyFont="1" applyBorder="1" applyAlignment="1">
      <alignment horizontal="center"/>
    </xf>
    <xf numFmtId="0" fontId="4" fillId="0" borderId="38" xfId="2" applyNumberFormat="1" applyFont="1" applyBorder="1" applyAlignment="1">
      <alignment horizontal="center"/>
    </xf>
    <xf numFmtId="0" fontId="4" fillId="0" borderId="37" xfId="2" quotePrefix="1" applyNumberFormat="1" applyFont="1" applyBorder="1" applyAlignment="1">
      <alignment horizontal="center"/>
    </xf>
    <xf numFmtId="0" fontId="4" fillId="0" borderId="17" xfId="2" applyNumberFormat="1" applyFont="1" applyBorder="1" applyAlignment="1">
      <alignment horizontal="center"/>
    </xf>
    <xf numFmtId="0" fontId="4" fillId="0" borderId="10" xfId="2" applyNumberFormat="1" applyFont="1" applyBorder="1" applyAlignment="1" applyProtection="1">
      <protection locked="0"/>
    </xf>
    <xf numFmtId="0" fontId="4" fillId="0" borderId="0" xfId="2" applyNumberFormat="1" applyFont="1" applyBorder="1" applyAlignment="1" applyProtection="1">
      <protection locked="0"/>
    </xf>
    <xf numFmtId="4" fontId="4" fillId="0" borderId="10" xfId="2" applyNumberFormat="1" applyFont="1" applyBorder="1" applyAlignment="1"/>
    <xf numFmtId="2" fontId="4" fillId="0" borderId="10" xfId="2" applyNumberFormat="1" applyFont="1" applyBorder="1" applyAlignment="1"/>
    <xf numFmtId="4" fontId="4" fillId="0" borderId="31" xfId="2" applyNumberFormat="1" applyFont="1" applyBorder="1" applyAlignment="1"/>
    <xf numFmtId="0" fontId="4" fillId="0" borderId="0" xfId="2" applyNumberFormat="1" applyFont="1" applyAlignment="1" applyProtection="1">
      <protection locked="0"/>
    </xf>
    <xf numFmtId="166" fontId="4" fillId="0" borderId="0" xfId="2" applyNumberFormat="1" applyFont="1" applyAlignment="1" applyProtection="1">
      <protection hidden="1"/>
    </xf>
    <xf numFmtId="166" fontId="4" fillId="0" borderId="10" xfId="2" applyNumberFormat="1" applyFont="1" applyBorder="1" applyAlignment="1" applyProtection="1">
      <protection hidden="1"/>
    </xf>
    <xf numFmtId="166" fontId="2" fillId="0" borderId="0" xfId="2" applyNumberFormat="1" applyFont="1" applyAlignment="1" applyProtection="1">
      <protection locked="0" hidden="1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quotePrefix="1" applyFont="1" applyAlignment="1">
      <alignment horizontal="left"/>
    </xf>
    <xf numFmtId="164" fontId="2" fillId="0" borderId="39" xfId="0" applyNumberFormat="1" applyFont="1" applyBorder="1"/>
    <xf numFmtId="0" fontId="1" fillId="0" borderId="40" xfId="0" applyFont="1" applyBorder="1" applyAlignment="1">
      <alignment horizontal="center"/>
    </xf>
    <xf numFmtId="4" fontId="2" fillId="0" borderId="19" xfId="0" applyNumberFormat="1" applyFont="1" applyBorder="1"/>
    <xf numFmtId="165" fontId="4" fillId="0" borderId="11" xfId="1" applyNumberFormat="1" applyFont="1" applyFill="1" applyBorder="1" applyAlignment="1" applyProtection="1">
      <protection locked="0"/>
    </xf>
    <xf numFmtId="10" fontId="4" fillId="0" borderId="11" xfId="1" applyNumberFormat="1" applyFont="1" applyFill="1" applyBorder="1" applyAlignment="1" applyProtection="1">
      <protection locked="0"/>
    </xf>
    <xf numFmtId="0" fontId="1" fillId="2" borderId="7" xfId="0" applyFont="1" applyFill="1" applyBorder="1" applyProtection="1">
      <protection locked="0"/>
    </xf>
    <xf numFmtId="0" fontId="1" fillId="2" borderId="4" xfId="0" applyFont="1" applyFill="1" applyBorder="1"/>
    <xf numFmtId="0" fontId="1" fillId="2" borderId="5" xfId="0" applyFont="1" applyFill="1" applyBorder="1"/>
    <xf numFmtId="49" fontId="2" fillId="0" borderId="0" xfId="1" applyNumberFormat="1" applyFont="1" applyAlignment="1">
      <alignment horizontal="right"/>
    </xf>
    <xf numFmtId="165" fontId="4" fillId="2" borderId="5" xfId="1" applyNumberFormat="1" applyFont="1" applyFill="1" applyBorder="1" applyAlignment="1" applyProtection="1">
      <protection locked="0"/>
    </xf>
    <xf numFmtId="165" fontId="4" fillId="2" borderId="11" xfId="1" applyNumberFormat="1" applyFont="1" applyFill="1" applyBorder="1" applyAlignment="1" applyProtection="1">
      <protection locked="0"/>
    </xf>
    <xf numFmtId="49" fontId="4" fillId="2" borderId="3" xfId="1" applyNumberFormat="1" applyFont="1" applyFill="1" applyBorder="1" applyAlignment="1"/>
    <xf numFmtId="49" fontId="2" fillId="2" borderId="5" xfId="1" applyNumberFormat="1" applyFont="1" applyFill="1" applyBorder="1" applyAlignment="1"/>
    <xf numFmtId="49" fontId="2" fillId="2" borderId="4" xfId="1" applyNumberFormat="1" applyFont="1" applyFill="1" applyBorder="1" applyAlignment="1"/>
    <xf numFmtId="164" fontId="4" fillId="2" borderId="5" xfId="1" applyNumberFormat="1" applyFont="1" applyFill="1" applyBorder="1" applyAlignment="1"/>
    <xf numFmtId="0" fontId="2" fillId="3" borderId="4" xfId="1" applyNumberFormat="1" applyFont="1" applyFill="1" applyBorder="1" applyAlignment="1">
      <alignment horizontal="fill"/>
    </xf>
    <xf numFmtId="165" fontId="2" fillId="3" borderId="4" xfId="1" applyNumberFormat="1" applyFont="1" applyFill="1" applyBorder="1" applyAlignment="1"/>
    <xf numFmtId="0" fontId="2" fillId="3" borderId="4" xfId="1" applyNumberFormat="1" applyFont="1" applyFill="1" applyBorder="1" applyAlignment="1"/>
    <xf numFmtId="165" fontId="2" fillId="3" borderId="4" xfId="1" applyNumberFormat="1" applyFont="1" applyFill="1" applyBorder="1" applyAlignment="1">
      <alignment horizontal="fill"/>
    </xf>
    <xf numFmtId="165" fontId="2" fillId="3" borderId="5" xfId="1" applyNumberFormat="1" applyFont="1" applyFill="1" applyBorder="1" applyAlignment="1">
      <alignment horizontal="fill"/>
    </xf>
    <xf numFmtId="0" fontId="4" fillId="2" borderId="11" xfId="1" applyNumberFormat="1" applyFont="1" applyFill="1" applyBorder="1" applyAlignment="1" applyProtection="1">
      <protection locked="0"/>
    </xf>
    <xf numFmtId="49" fontId="4" fillId="2" borderId="11" xfId="1" applyNumberFormat="1" applyFont="1" applyFill="1" applyBorder="1" applyAlignment="1" applyProtection="1">
      <protection locked="0"/>
    </xf>
    <xf numFmtId="10" fontId="4" fillId="4" borderId="33" xfId="2" applyNumberFormat="1" applyFont="1" applyFill="1" applyBorder="1" applyAlignment="1" applyProtection="1">
      <protection locked="0"/>
    </xf>
    <xf numFmtId="49" fontId="4" fillId="2" borderId="6" xfId="2" applyNumberFormat="1" applyFont="1" applyFill="1" applyBorder="1" applyAlignment="1" applyProtection="1">
      <protection locked="0"/>
    </xf>
    <xf numFmtId="49" fontId="4" fillId="2" borderId="3" xfId="2" applyNumberFormat="1" applyFont="1" applyFill="1" applyBorder="1" applyAlignment="1" applyProtection="1">
      <protection locked="0"/>
    </xf>
    <xf numFmtId="49" fontId="2" fillId="2" borderId="4" xfId="2" applyNumberFormat="1" applyFont="1" applyFill="1" applyBorder="1" applyAlignment="1"/>
    <xf numFmtId="49" fontId="2" fillId="2" borderId="5" xfId="2" applyNumberFormat="1" applyFont="1" applyFill="1" applyBorder="1" applyAlignment="1"/>
    <xf numFmtId="0" fontId="4" fillId="2" borderId="10" xfId="2" applyNumberFormat="1" applyFont="1" applyFill="1" applyBorder="1" applyAlignment="1" applyProtection="1">
      <protection locked="0"/>
    </xf>
    <xf numFmtId="49" fontId="2" fillId="2" borderId="3" xfId="2" applyNumberFormat="1" applyFont="1" applyFill="1" applyBorder="1" applyAlignment="1"/>
    <xf numFmtId="0" fontId="4" fillId="2" borderId="10" xfId="2" applyNumberFormat="1" applyFont="1" applyFill="1" applyBorder="1" applyAlignment="1" applyProtection="1">
      <alignment horizontal="left"/>
      <protection locked="0"/>
    </xf>
    <xf numFmtId="0" fontId="2" fillId="3" borderId="3" xfId="2" applyNumberFormat="1" applyFont="1" applyFill="1" applyBorder="1" applyAlignment="1">
      <alignment horizontal="fill"/>
    </xf>
    <xf numFmtId="0" fontId="2" fillId="3" borderId="4" xfId="2" applyNumberFormat="1" applyFont="1" applyFill="1" applyBorder="1" applyAlignment="1">
      <alignment horizontal="fill"/>
    </xf>
    <xf numFmtId="0" fontId="2" fillId="3" borderId="4" xfId="2" applyNumberFormat="1" applyFont="1" applyFill="1" applyBorder="1" applyAlignment="1"/>
    <xf numFmtId="4" fontId="2" fillId="0" borderId="39" xfId="0" applyNumberFormat="1" applyFont="1" applyBorder="1" applyAlignment="1">
      <alignment horizontal="center" vertical="center"/>
    </xf>
    <xf numFmtId="0" fontId="1" fillId="0" borderId="11" xfId="0" applyFont="1" applyBorder="1"/>
    <xf numFmtId="4" fontId="2" fillId="0" borderId="11" xfId="0" applyNumberFormat="1" applyFont="1" applyBorder="1"/>
    <xf numFmtId="49" fontId="1" fillId="2" borderId="7" xfId="0" applyNumberFormat="1" applyFont="1" applyFill="1" applyBorder="1" applyProtection="1">
      <protection locked="0"/>
    </xf>
    <xf numFmtId="49" fontId="1" fillId="2" borderId="3" xfId="0" applyNumberFormat="1" applyFont="1" applyFill="1" applyBorder="1" applyProtection="1">
      <protection locked="0"/>
    </xf>
    <xf numFmtId="49" fontId="2" fillId="3" borderId="3" xfId="1" applyNumberFormat="1" applyFont="1" applyFill="1" applyBorder="1" applyAlignment="1">
      <alignment horizontal="fill"/>
    </xf>
    <xf numFmtId="49" fontId="2" fillId="0" borderId="0" xfId="1" applyNumberFormat="1" applyFont="1" applyAlignment="1"/>
    <xf numFmtId="49" fontId="2" fillId="0" borderId="0" xfId="1" applyNumberFormat="1" applyFont="1"/>
    <xf numFmtId="165" fontId="4" fillId="2" borderId="24" xfId="2" applyNumberFormat="1" applyFont="1" applyFill="1" applyBorder="1" applyAlignment="1" applyProtection="1">
      <protection locked="0"/>
    </xf>
    <xf numFmtId="165" fontId="4" fillId="2" borderId="30" xfId="2" applyNumberFormat="1" applyFont="1" applyFill="1" applyBorder="1" applyAlignment="1" applyProtection="1">
      <protection locked="0"/>
    </xf>
    <xf numFmtId="165" fontId="2" fillId="3" borderId="5" xfId="2" applyNumberFormat="1" applyFont="1" applyFill="1" applyBorder="1" applyAlignment="1"/>
    <xf numFmtId="165" fontId="2" fillId="0" borderId="20" xfId="2" applyNumberFormat="1" applyFont="1" applyBorder="1" applyAlignment="1"/>
    <xf numFmtId="165" fontId="2" fillId="0" borderId="0" xfId="2" applyNumberFormat="1" applyFont="1" applyAlignment="1"/>
    <xf numFmtId="165" fontId="4" fillId="2" borderId="10" xfId="2" applyNumberFormat="1" applyFont="1" applyFill="1" applyBorder="1" applyAlignment="1" applyProtection="1">
      <protection locked="0"/>
    </xf>
    <xf numFmtId="165" fontId="2" fillId="3" borderId="4" xfId="2" applyNumberFormat="1" applyFont="1" applyFill="1" applyBorder="1" applyAlignment="1"/>
    <xf numFmtId="165" fontId="4" fillId="0" borderId="0" xfId="2" applyNumberFormat="1" applyFont="1" applyAlignment="1" applyProtection="1">
      <protection hidden="1"/>
    </xf>
    <xf numFmtId="165" fontId="4" fillId="0" borderId="0" xfId="2" applyNumberFormat="1" applyFont="1" applyAlignment="1"/>
    <xf numFmtId="49" fontId="4" fillId="2" borderId="31" xfId="2" applyNumberFormat="1" applyFont="1" applyFill="1" applyBorder="1" applyAlignment="1" applyProtection="1">
      <protection locked="0"/>
    </xf>
    <xf numFmtId="49" fontId="2" fillId="3" borderId="4" xfId="2" applyNumberFormat="1" applyFont="1" applyFill="1" applyBorder="1" applyAlignment="1"/>
    <xf numFmtId="49" fontId="2" fillId="0" borderId="0" xfId="2" applyNumberFormat="1" applyFont="1" applyAlignment="1"/>
    <xf numFmtId="49" fontId="4" fillId="0" borderId="0" xfId="2" applyNumberFormat="1" applyFont="1" applyAlignment="1"/>
    <xf numFmtId="49" fontId="4" fillId="0" borderId="0" xfId="2" applyNumberFormat="1" applyFont="1" applyAlignment="1">
      <alignment horizontal="right"/>
    </xf>
    <xf numFmtId="49" fontId="4" fillId="2" borderId="10" xfId="2" applyNumberFormat="1" applyFont="1" applyFill="1" applyBorder="1" applyAlignment="1" applyProtection="1">
      <protection locked="0"/>
    </xf>
    <xf numFmtId="49" fontId="2" fillId="3" borderId="4" xfId="2" applyNumberFormat="1" applyFont="1" applyFill="1" applyBorder="1" applyAlignment="1">
      <alignment horizontal="fill"/>
    </xf>
    <xf numFmtId="0" fontId="4" fillId="0" borderId="3" xfId="1" applyNumberFormat="1" applyFont="1" applyBorder="1" applyAlignment="1">
      <alignment horizontal="center"/>
    </xf>
    <xf numFmtId="4" fontId="2" fillId="0" borderId="0" xfId="1" applyNumberFormat="1" applyFont="1" applyBorder="1" applyAlignment="1"/>
    <xf numFmtId="165" fontId="4" fillId="0" borderId="41" xfId="1" applyNumberFormat="1" applyFont="1" applyBorder="1" applyAlignment="1"/>
    <xf numFmtId="165" fontId="4" fillId="0" borderId="42" xfId="1" applyNumberFormat="1" applyFont="1" applyBorder="1" applyAlignment="1"/>
    <xf numFmtId="165" fontId="4" fillId="2" borderId="42" xfId="1" applyNumberFormat="1" applyFont="1" applyFill="1" applyBorder="1" applyAlignment="1" applyProtection="1">
      <protection locked="0"/>
    </xf>
    <xf numFmtId="165" fontId="4" fillId="0" borderId="43" xfId="1" applyNumberFormat="1" applyFont="1" applyBorder="1" applyAlignment="1"/>
    <xf numFmtId="0" fontId="4" fillId="0" borderId="34" xfId="1" applyNumberFormat="1" applyFont="1" applyBorder="1" applyAlignment="1">
      <alignment horizontal="center" wrapText="1"/>
    </xf>
    <xf numFmtId="0" fontId="4" fillId="0" borderId="37" xfId="1" applyNumberFormat="1" applyFont="1" applyBorder="1" applyAlignment="1">
      <alignment horizontal="center"/>
    </xf>
    <xf numFmtId="49" fontId="4" fillId="2" borderId="45" xfId="2" applyNumberFormat="1" applyFont="1" applyFill="1" applyBorder="1" applyAlignment="1" applyProtection="1">
      <protection locked="0"/>
    </xf>
    <xf numFmtId="165" fontId="4" fillId="0" borderId="11" xfId="1" applyNumberFormat="1" applyFont="1" applyBorder="1" applyAlignment="1"/>
    <xf numFmtId="165" fontId="4" fillId="0" borderId="18" xfId="1" applyNumberFormat="1" applyFont="1" applyBorder="1" applyAlignment="1"/>
    <xf numFmtId="0" fontId="2" fillId="0" borderId="0" xfId="2" applyFont="1"/>
    <xf numFmtId="0" fontId="2" fillId="0" borderId="0" xfId="2" applyFont="1" applyBorder="1"/>
    <xf numFmtId="0" fontId="4" fillId="0" borderId="10" xfId="2" applyNumberFormat="1" applyFont="1" applyBorder="1" applyAlignment="1" applyProtection="1">
      <protection locked="0"/>
    </xf>
    <xf numFmtId="4" fontId="4" fillId="0" borderId="10" xfId="2" applyNumberFormat="1" applyFont="1" applyBorder="1" applyAlignment="1"/>
    <xf numFmtId="2" fontId="4" fillId="0" borderId="10" xfId="2" applyNumberFormat="1" applyFont="1" applyBorder="1" applyAlignment="1"/>
    <xf numFmtId="4" fontId="4" fillId="0" borderId="31" xfId="2" applyNumberFormat="1" applyFont="1" applyBorder="1" applyAlignment="1"/>
    <xf numFmtId="0" fontId="4" fillId="0" borderId="0" xfId="2" applyNumberFormat="1" applyFont="1" applyAlignment="1" applyProtection="1">
      <protection locked="0"/>
    </xf>
    <xf numFmtId="165" fontId="2" fillId="0" borderId="19" xfId="1" applyNumberFormat="1" applyFont="1" applyBorder="1" applyAlignment="1"/>
    <xf numFmtId="49" fontId="4" fillId="2" borderId="44" xfId="2" applyNumberFormat="1" applyFont="1" applyFill="1" applyBorder="1" applyAlignment="1" applyProtection="1">
      <protection locked="0"/>
    </xf>
    <xf numFmtId="4" fontId="4" fillId="0" borderId="46" xfId="2" applyNumberFormat="1" applyFont="1" applyBorder="1" applyAlignment="1"/>
    <xf numFmtId="0" fontId="1" fillId="2" borderId="11" xfId="0" applyFont="1" applyFill="1" applyBorder="1"/>
    <xf numFmtId="164" fontId="1" fillId="2" borderId="11" xfId="0" applyNumberFormat="1" applyFont="1" applyFill="1" applyBorder="1"/>
    <xf numFmtId="0" fontId="2" fillId="2" borderId="11" xfId="0" applyFont="1" applyFill="1" applyBorder="1" applyAlignment="1">
      <alignment horizontal="right"/>
    </xf>
    <xf numFmtId="0" fontId="0" fillId="0" borderId="47" xfId="0" applyBorder="1"/>
    <xf numFmtId="0" fontId="1" fillId="0" borderId="47" xfId="0" applyFont="1" applyBorder="1"/>
    <xf numFmtId="164" fontId="2" fillId="0" borderId="0" xfId="0" applyNumberFormat="1" applyFont="1" applyBorder="1"/>
    <xf numFmtId="0" fontId="1" fillId="5" borderId="3" xfId="0" applyFont="1" applyFill="1" applyBorder="1"/>
    <xf numFmtId="0" fontId="1" fillId="5" borderId="4" xfId="0" applyFont="1" applyFill="1" applyBorder="1"/>
    <xf numFmtId="0" fontId="1" fillId="5" borderId="5" xfId="0" applyFont="1" applyFill="1" applyBorder="1"/>
    <xf numFmtId="0" fontId="1" fillId="3" borderId="3" xfId="0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4" fillId="0" borderId="4" xfId="1" quotePrefix="1" applyNumberFormat="1" applyFont="1" applyBorder="1" applyAlignment="1">
      <alignment horizontal="center"/>
    </xf>
    <xf numFmtId="0" fontId="4" fillId="0" borderId="6" xfId="1" quotePrefix="1" applyNumberFormat="1" applyFont="1" applyBorder="1" applyAlignment="1">
      <alignment horizontal="center" vertical="center" wrapText="1"/>
    </xf>
    <xf numFmtId="0" fontId="4" fillId="0" borderId="12" xfId="1" quotePrefix="1" applyNumberFormat="1" applyFont="1" applyBorder="1" applyAlignment="1">
      <alignment horizontal="center" vertical="center" wrapText="1"/>
    </xf>
    <xf numFmtId="0" fontId="4" fillId="0" borderId="6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0" fontId="4" fillId="0" borderId="6" xfId="1" applyNumberFormat="1" applyFont="1" applyBorder="1" applyAlignment="1">
      <alignment horizontal="center" vertical="center" wrapText="1"/>
    </xf>
    <xf numFmtId="0" fontId="4" fillId="0" borderId="12" xfId="1" applyNumberFormat="1" applyFont="1" applyBorder="1" applyAlignment="1">
      <alignment horizontal="center" vertical="center" wrapText="1"/>
    </xf>
    <xf numFmtId="0" fontId="4" fillId="0" borderId="1" xfId="1" quotePrefix="1" applyNumberFormat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4" fillId="0" borderId="3" xfId="1" applyNumberFormat="1" applyFont="1" applyBorder="1" applyAlignment="1">
      <alignment horizontal="center"/>
    </xf>
    <xf numFmtId="0" fontId="2" fillId="0" borderId="5" xfId="1" applyFont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0" fontId="2" fillId="0" borderId="9" xfId="1" applyFont="1" applyBorder="1" applyAlignment="1">
      <alignment horizontal="center"/>
    </xf>
    <xf numFmtId="0" fontId="4" fillId="0" borderId="21" xfId="2" applyNumberFormat="1" applyFont="1" applyBorder="1" applyAlignment="1">
      <alignment horizontal="center" vertical="center" wrapText="1"/>
    </xf>
    <xf numFmtId="0" fontId="2" fillId="0" borderId="22" xfId="2" applyFont="1" applyBorder="1" applyAlignment="1">
      <alignment horizontal="center" vertical="center" wrapText="1"/>
    </xf>
    <xf numFmtId="0" fontId="2" fillId="0" borderId="23" xfId="2" applyFont="1" applyBorder="1" applyAlignment="1">
      <alignment horizontal="center" vertical="center" wrapText="1"/>
    </xf>
    <xf numFmtId="0" fontId="4" fillId="0" borderId="24" xfId="2" quotePrefix="1" applyNumberFormat="1" applyFont="1" applyBorder="1" applyAlignment="1">
      <alignment horizontal="right" textRotation="90"/>
    </xf>
    <xf numFmtId="0" fontId="3" fillId="0" borderId="30" xfId="2" applyFont="1" applyBorder="1" applyAlignment="1">
      <alignment textRotation="90"/>
    </xf>
    <xf numFmtId="0" fontId="3" fillId="0" borderId="36" xfId="2" applyFont="1" applyBorder="1" applyAlignment="1">
      <alignment textRotation="90"/>
    </xf>
    <xf numFmtId="0" fontId="4" fillId="0" borderId="27" xfId="2" applyNumberFormat="1" applyFont="1" applyBorder="1" applyAlignment="1">
      <alignment horizontal="center" vertical="center" wrapText="1"/>
    </xf>
    <xf numFmtId="0" fontId="5" fillId="0" borderId="28" xfId="2" applyBorder="1" applyAlignment="1">
      <alignment horizontal="center" vertical="center" wrapText="1"/>
    </xf>
    <xf numFmtId="0" fontId="5" fillId="0" borderId="29" xfId="2" applyBorder="1" applyAlignment="1">
      <alignment horizontal="center" vertical="center" wrapText="1"/>
    </xf>
    <xf numFmtId="0" fontId="4" fillId="0" borderId="3" xfId="2" applyNumberFormat="1" applyFont="1" applyBorder="1" applyAlignment="1">
      <alignment horizontal="center" vertical="center" wrapText="1"/>
    </xf>
    <xf numFmtId="0" fontId="5" fillId="0" borderId="4" xfId="2" applyBorder="1" applyAlignment="1">
      <alignment horizontal="center" vertical="center" wrapText="1"/>
    </xf>
    <xf numFmtId="0" fontId="5" fillId="0" borderId="5" xfId="2" applyBorder="1" applyAlignment="1">
      <alignment horizontal="center" vertical="center" wrapText="1"/>
    </xf>
    <xf numFmtId="0" fontId="4" fillId="0" borderId="0" xfId="2" applyNumberFormat="1" applyFont="1" applyBorder="1" applyAlignment="1">
      <alignment horizontal="right"/>
    </xf>
    <xf numFmtId="0" fontId="4" fillId="0" borderId="0" xfId="2" applyNumberFormat="1" applyFont="1" applyBorder="1" applyAlignment="1">
      <alignment horizontal="center"/>
    </xf>
    <xf numFmtId="164" fontId="2" fillId="2" borderId="7" xfId="2" applyNumberFormat="1" applyFont="1" applyFill="1" applyBorder="1" applyAlignment="1"/>
  </cellXfs>
  <cellStyles count="4">
    <cellStyle name="Normal" xfId="0" builtinId="0"/>
    <cellStyle name="Normal 2" xfId="3"/>
    <cellStyle name="Normal_primer7" xfId="1"/>
    <cellStyle name="Normal_trgpice" xfId="2"/>
  </cellStyles>
  <dxfs count="0"/>
  <tableStyles count="0" defaultTableStyle="TableStyleMedium9" defaultPivotStyle="PivotStyleLight16"/>
  <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5"/>
  <sheetViews>
    <sheetView workbookViewId="0">
      <selection activeCell="E24" sqref="E24"/>
    </sheetView>
  </sheetViews>
  <sheetFormatPr defaultColWidth="15.85546875" defaultRowHeight="14.1" customHeight="1"/>
  <cols>
    <col min="1" max="1" width="5.85546875" style="86" customWidth="1"/>
    <col min="2" max="2" width="15.85546875" style="86" customWidth="1"/>
    <col min="3" max="3" width="45.85546875" style="86" customWidth="1"/>
    <col min="4" max="4" width="15.85546875" style="86" customWidth="1"/>
    <col min="5" max="5" width="5.85546875" style="86" customWidth="1"/>
    <col min="6" max="6" width="15.85546875" style="86" customWidth="1"/>
    <col min="7" max="7" width="12.85546875" style="86" customWidth="1"/>
    <col min="8" max="8" width="15.85546875" style="86" customWidth="1"/>
    <col min="9" max="9" width="12.85546875" style="86" customWidth="1"/>
    <col min="10" max="16384" width="15.85546875" style="86"/>
  </cols>
  <sheetData>
    <row r="1" spans="1:13" ht="14.1" customHeight="1">
      <c r="M1" s="86">
        <v>17</v>
      </c>
    </row>
    <row r="2" spans="1:13" ht="14.1" customHeight="1">
      <c r="A2" s="86" t="s">
        <v>111</v>
      </c>
    </row>
    <row r="3" spans="1:13" ht="14.1" customHeight="1" thickBot="1"/>
    <row r="4" spans="1:13" ht="14.1" customHeight="1" thickBot="1">
      <c r="A4" s="86" t="s">
        <v>91</v>
      </c>
      <c r="C4" s="87" t="s">
        <v>92</v>
      </c>
      <c r="D4" s="127"/>
      <c r="E4" s="96"/>
      <c r="F4" s="96"/>
      <c r="G4" s="96"/>
      <c r="H4" s="97"/>
    </row>
    <row r="5" spans="1:13" ht="14.1" customHeight="1" thickBot="1">
      <c r="B5" s="126"/>
      <c r="C5" s="88" t="s">
        <v>93</v>
      </c>
      <c r="D5" s="126"/>
    </row>
    <row r="6" spans="1:13" ht="14.1" customHeight="1" thickBot="1">
      <c r="G6" s="86" t="s">
        <v>94</v>
      </c>
    </row>
    <row r="7" spans="1:13" ht="14.1" customHeight="1" thickBot="1">
      <c r="C7" s="88" t="s">
        <v>95</v>
      </c>
      <c r="D7" s="95"/>
      <c r="E7" s="89" t="s">
        <v>96</v>
      </c>
      <c r="F7" s="126"/>
      <c r="G7" s="86" t="s">
        <v>97</v>
      </c>
      <c r="I7" s="123">
        <f>IF(D7&gt;0,I19/D7,0)</f>
        <v>0</v>
      </c>
    </row>
    <row r="9" spans="1:13" ht="14.1" customHeight="1" thickBot="1">
      <c r="A9" s="91" t="s">
        <v>98</v>
      </c>
      <c r="B9" s="91" t="s">
        <v>99</v>
      </c>
      <c r="C9" s="91" t="s">
        <v>100</v>
      </c>
      <c r="D9" s="91" t="s">
        <v>101</v>
      </c>
      <c r="E9" s="91" t="s">
        <v>102</v>
      </c>
      <c r="F9" s="91" t="s">
        <v>103</v>
      </c>
      <c r="G9" s="91" t="s">
        <v>104</v>
      </c>
      <c r="H9" s="91" t="s">
        <v>105</v>
      </c>
      <c r="I9" s="91" t="s">
        <v>106</v>
      </c>
    </row>
    <row r="10" spans="1:13" ht="14.1" customHeight="1" thickBot="1">
      <c r="A10" s="174"/>
      <c r="B10" s="175"/>
      <c r="C10" s="175"/>
      <c r="D10" s="175"/>
      <c r="E10" s="175"/>
      <c r="F10" s="176"/>
      <c r="G10" s="95"/>
      <c r="H10" s="174"/>
      <c r="I10" s="176"/>
    </row>
    <row r="11" spans="1:13" ht="14.1" customHeight="1">
      <c r="A11" s="168"/>
      <c r="B11" s="169"/>
      <c r="C11" s="168"/>
      <c r="D11" s="168"/>
      <c r="E11" s="168"/>
      <c r="F11" s="168"/>
      <c r="G11" s="124"/>
      <c r="H11" s="170">
        <f t="shared" ref="H11" si="0">IF(G$10&gt;0,D$7*G11/G$10,0)</f>
        <v>0</v>
      </c>
      <c r="I11" s="125">
        <f t="shared" ref="I11" si="1">H11*F11</f>
        <v>0</v>
      </c>
    </row>
    <row r="12" spans="1:13" ht="14.1" customHeight="1">
      <c r="A12" s="168"/>
      <c r="B12" s="169"/>
      <c r="C12" s="168"/>
      <c r="D12" s="168"/>
      <c r="E12" s="168"/>
      <c r="F12" s="168"/>
      <c r="G12" s="124"/>
      <c r="H12" s="170">
        <f t="shared" ref="H12:H17" si="2">IF(G$10&gt;0,D$7*G12/G$10,0)</f>
        <v>0</v>
      </c>
      <c r="I12" s="125">
        <f t="shared" ref="I12:I17" si="3">H12*F12</f>
        <v>0</v>
      </c>
    </row>
    <row r="13" spans="1:13" ht="14.1" customHeight="1">
      <c r="A13" s="168"/>
      <c r="B13" s="169"/>
      <c r="C13" s="168"/>
      <c r="D13" s="168"/>
      <c r="E13" s="168"/>
      <c r="F13" s="168"/>
      <c r="G13" s="124"/>
      <c r="H13" s="170">
        <f t="shared" si="2"/>
        <v>0</v>
      </c>
      <c r="I13" s="125">
        <f t="shared" si="3"/>
        <v>0</v>
      </c>
    </row>
    <row r="14" spans="1:13" ht="14.1" customHeight="1">
      <c r="A14" s="168"/>
      <c r="B14" s="169"/>
      <c r="C14" s="168"/>
      <c r="D14" s="168"/>
      <c r="E14" s="168"/>
      <c r="F14" s="168"/>
      <c r="G14" s="124"/>
      <c r="H14" s="170">
        <f t="shared" si="2"/>
        <v>0</v>
      </c>
      <c r="I14" s="125">
        <f t="shared" si="3"/>
        <v>0</v>
      </c>
    </row>
    <row r="15" spans="1:13" ht="14.1" customHeight="1">
      <c r="A15" s="168"/>
      <c r="B15" s="169"/>
      <c r="C15" s="168"/>
      <c r="D15" s="168"/>
      <c r="E15" s="168"/>
      <c r="F15" s="168"/>
      <c r="G15" s="124"/>
      <c r="H15" s="170">
        <f t="shared" si="2"/>
        <v>0</v>
      </c>
      <c r="I15" s="125">
        <f t="shared" si="3"/>
        <v>0</v>
      </c>
    </row>
    <row r="16" spans="1:13" ht="14.1" customHeight="1">
      <c r="A16" s="168"/>
      <c r="B16" s="169"/>
      <c r="C16" s="168"/>
      <c r="D16" s="168"/>
      <c r="E16" s="168"/>
      <c r="F16" s="168"/>
      <c r="G16" s="124"/>
      <c r="H16" s="170">
        <f t="shared" si="2"/>
        <v>0</v>
      </c>
      <c r="I16" s="125">
        <f t="shared" si="3"/>
        <v>0</v>
      </c>
    </row>
    <row r="17" spans="1:10" ht="14.1" customHeight="1" thickBot="1">
      <c r="A17" s="168"/>
      <c r="B17" s="169"/>
      <c r="C17" s="168"/>
      <c r="D17" s="168"/>
      <c r="E17" s="168"/>
      <c r="F17" s="168"/>
      <c r="G17" s="124"/>
      <c r="H17" s="170">
        <f t="shared" si="2"/>
        <v>0</v>
      </c>
      <c r="I17" s="125">
        <f t="shared" si="3"/>
        <v>0</v>
      </c>
    </row>
    <row r="18" spans="1:10" ht="14.1" customHeight="1" thickBot="1">
      <c r="A18" s="177"/>
      <c r="B18" s="178"/>
      <c r="C18" s="178"/>
      <c r="D18" s="178"/>
      <c r="E18" s="178"/>
      <c r="F18" s="178"/>
      <c r="G18" s="178"/>
      <c r="H18" s="178"/>
      <c r="I18" s="179"/>
    </row>
    <row r="19" spans="1:10" ht="14.1" customHeight="1">
      <c r="B19" s="85" t="s">
        <v>107</v>
      </c>
      <c r="H19" s="86" t="s">
        <v>90</v>
      </c>
      <c r="I19" s="92">
        <f>SUM(I10:I18)</f>
        <v>0</v>
      </c>
    </row>
    <row r="20" spans="1:10" ht="14.1" customHeight="1">
      <c r="C20" s="90">
        <f ca="1">NOW()</f>
        <v>42389.467865509258</v>
      </c>
    </row>
    <row r="21" spans="1:10" ht="14.1" customHeight="1">
      <c r="C21" s="173"/>
    </row>
    <row r="22" spans="1:10" ht="14.1" customHeight="1">
      <c r="C22" s="173"/>
    </row>
    <row r="23" spans="1:10" ht="14.1" customHeight="1">
      <c r="B23" s="85" t="s">
        <v>108</v>
      </c>
      <c r="G23" s="86" t="s">
        <v>109</v>
      </c>
    </row>
    <row r="24" spans="1:10" ht="14.1" customHeight="1" thickBot="1">
      <c r="C24" s="171"/>
      <c r="H24" s="172"/>
      <c r="I24" s="172"/>
      <c r="J24" s="172"/>
    </row>
    <row r="25" spans="1:10" ht="14.1" customHeight="1" thickTop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23"/>
  <sheetViews>
    <sheetView workbookViewId="0">
      <selection activeCell="M1" sqref="M1"/>
    </sheetView>
  </sheetViews>
  <sheetFormatPr defaultColWidth="9.28515625" defaultRowHeight="15.75"/>
  <cols>
    <col min="1" max="1" width="6.7109375" style="130" customWidth="1"/>
    <col min="2" max="2" width="10.7109375" style="1" customWidth="1"/>
    <col min="3" max="3" width="40.7109375" style="1" customWidth="1"/>
    <col min="4" max="4" width="6.7109375" style="1" customWidth="1"/>
    <col min="5" max="5" width="13.7109375" style="1" customWidth="1"/>
    <col min="6" max="6" width="15.7109375" style="1" customWidth="1"/>
    <col min="7" max="7" width="15.85546875" style="1" customWidth="1"/>
    <col min="8" max="8" width="9.7109375" style="1" customWidth="1"/>
    <col min="9" max="11" width="15.85546875" style="1" customWidth="1"/>
    <col min="12" max="12" width="19" style="1" customWidth="1"/>
    <col min="13" max="21" width="15.85546875" style="1" customWidth="1"/>
    <col min="22" max="22" width="15.7109375" style="1" customWidth="1"/>
    <col min="23" max="26" width="14.42578125" style="1" customWidth="1"/>
    <col min="27" max="16384" width="9.28515625" style="1"/>
  </cols>
  <sheetData>
    <row r="1" spans="1:26">
      <c r="A1" s="1"/>
      <c r="L1" s="2"/>
      <c r="M1" s="1">
        <v>20</v>
      </c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>
      <c r="A2" s="1"/>
      <c r="L2" s="2"/>
      <c r="N2" s="3" t="s">
        <v>0</v>
      </c>
      <c r="O2" s="4" t="s">
        <v>1</v>
      </c>
      <c r="P2" s="5"/>
      <c r="Q2" s="5"/>
      <c r="R2" s="2"/>
      <c r="S2" s="2"/>
      <c r="T2" s="2"/>
      <c r="U2" s="2"/>
      <c r="V2" s="2"/>
      <c r="W2" s="2"/>
      <c r="X2" s="2"/>
      <c r="Y2" s="2"/>
      <c r="Z2" s="2"/>
    </row>
    <row r="3" spans="1:26" ht="16.5" thickBot="1">
      <c r="A3" s="1"/>
      <c r="L3" s="2"/>
      <c r="N3" s="6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6.5" thickBot="1">
      <c r="A4" s="1"/>
      <c r="L4" s="2"/>
      <c r="M4" s="98" t="s">
        <v>110</v>
      </c>
      <c r="O4" s="7" t="s">
        <v>2</v>
      </c>
      <c r="P4" s="101"/>
      <c r="Q4" s="102"/>
      <c r="R4" s="2"/>
      <c r="S4" s="2"/>
      <c r="T4" s="2"/>
      <c r="U4" s="2"/>
      <c r="V4" s="2"/>
      <c r="W4" s="2"/>
      <c r="X4" s="2"/>
      <c r="Y4" s="2"/>
      <c r="Z4" s="2"/>
    </row>
    <row r="5" spans="1:26" ht="16.5" thickBot="1">
      <c r="A5" s="1"/>
      <c r="L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6.5" thickBot="1">
      <c r="A6" s="1"/>
      <c r="L6" s="2"/>
      <c r="N6" s="7" t="s">
        <v>3</v>
      </c>
      <c r="O6" s="101"/>
      <c r="P6" s="103"/>
      <c r="Q6" s="102"/>
      <c r="R6" s="2"/>
      <c r="S6" s="8" t="s">
        <v>4</v>
      </c>
      <c r="T6" s="101"/>
      <c r="U6" s="104"/>
      <c r="V6" s="9"/>
      <c r="W6" s="2"/>
      <c r="X6" s="2"/>
      <c r="Y6" s="2"/>
      <c r="Z6" s="2"/>
    </row>
    <row r="7" spans="1:26" ht="16.5" thickBo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10"/>
      <c r="N7" s="10"/>
      <c r="O7" s="10"/>
      <c r="P7" s="10"/>
      <c r="Q7" s="10"/>
      <c r="R7" s="10"/>
      <c r="S7" s="10"/>
      <c r="T7" s="10"/>
      <c r="U7" s="10"/>
      <c r="V7" s="10"/>
      <c r="W7" s="2"/>
      <c r="X7" s="2"/>
      <c r="Y7" s="2"/>
      <c r="Z7" s="2"/>
    </row>
    <row r="8" spans="1:26" ht="16.5" thickBot="1">
      <c r="A8" s="7" t="s">
        <v>5</v>
      </c>
      <c r="B8" s="8" t="s">
        <v>6</v>
      </c>
      <c r="C8" s="2"/>
      <c r="D8" s="2"/>
      <c r="E8" s="2"/>
      <c r="F8" s="2"/>
      <c r="G8" s="2"/>
      <c r="H8" s="2"/>
      <c r="I8" s="2"/>
      <c r="J8" s="2"/>
      <c r="K8" s="2"/>
      <c r="L8" s="2"/>
      <c r="M8" s="187" t="s">
        <v>7</v>
      </c>
      <c r="N8" s="188"/>
      <c r="O8" s="11"/>
      <c r="P8" s="12"/>
      <c r="Q8" s="180" t="s">
        <v>8</v>
      </c>
      <c r="R8" s="180"/>
      <c r="S8" s="180"/>
      <c r="T8" s="12"/>
      <c r="U8" s="12"/>
      <c r="V8" s="13"/>
      <c r="W8" s="2"/>
      <c r="X8" s="2"/>
      <c r="Y8" s="2"/>
      <c r="Z8" s="2"/>
    </row>
    <row r="9" spans="1:26" ht="16.5" thickBot="1">
      <c r="A9" s="181" t="s">
        <v>18</v>
      </c>
      <c r="B9" s="185" t="s">
        <v>19</v>
      </c>
      <c r="C9" s="183" t="s">
        <v>20</v>
      </c>
      <c r="D9" s="181" t="s">
        <v>57</v>
      </c>
      <c r="E9" s="183" t="s">
        <v>21</v>
      </c>
      <c r="F9" s="185" t="s">
        <v>22</v>
      </c>
      <c r="G9" s="14" t="s">
        <v>9</v>
      </c>
      <c r="H9" s="189" t="s">
        <v>10</v>
      </c>
      <c r="I9" s="190"/>
      <c r="J9" s="15" t="s">
        <v>11</v>
      </c>
      <c r="K9" s="15" t="s">
        <v>12</v>
      </c>
      <c r="L9" s="16"/>
      <c r="M9" s="191" t="s">
        <v>13</v>
      </c>
      <c r="N9" s="192"/>
      <c r="O9" s="17"/>
      <c r="P9" s="17" t="s">
        <v>14</v>
      </c>
      <c r="Q9" s="17" t="s">
        <v>15</v>
      </c>
      <c r="R9" s="17" t="s">
        <v>16</v>
      </c>
      <c r="S9" s="18" t="s">
        <v>17</v>
      </c>
      <c r="T9" s="17"/>
      <c r="U9" s="17"/>
      <c r="V9" s="19" t="s">
        <v>12</v>
      </c>
      <c r="W9" s="2"/>
      <c r="X9" s="2"/>
      <c r="Y9" s="2"/>
      <c r="Z9" s="2"/>
    </row>
    <row r="10" spans="1:26" ht="32.25" customHeight="1" thickBot="1">
      <c r="A10" s="182"/>
      <c r="B10" s="186"/>
      <c r="C10" s="184"/>
      <c r="D10" s="182"/>
      <c r="E10" s="184"/>
      <c r="F10" s="186"/>
      <c r="G10" s="99">
        <v>122</v>
      </c>
      <c r="H10" s="21" t="s">
        <v>23</v>
      </c>
      <c r="I10" s="22" t="s">
        <v>24</v>
      </c>
      <c r="J10" s="20" t="s">
        <v>25</v>
      </c>
      <c r="K10" s="23" t="s">
        <v>26</v>
      </c>
      <c r="L10" s="16"/>
      <c r="M10" s="24" t="s">
        <v>27</v>
      </c>
      <c r="N10" s="25" t="s">
        <v>28</v>
      </c>
      <c r="O10" s="26" t="s">
        <v>29</v>
      </c>
      <c r="P10" s="27" t="s">
        <v>30</v>
      </c>
      <c r="Q10" s="26" t="s">
        <v>31</v>
      </c>
      <c r="R10" s="26" t="s">
        <v>32</v>
      </c>
      <c r="S10" s="26" t="s">
        <v>33</v>
      </c>
      <c r="T10" s="26" t="s">
        <v>34</v>
      </c>
      <c r="U10" s="28" t="s">
        <v>35</v>
      </c>
      <c r="V10" s="23" t="s">
        <v>36</v>
      </c>
      <c r="W10" s="2"/>
      <c r="X10" s="2"/>
      <c r="Y10" s="2"/>
      <c r="Z10" s="2"/>
    </row>
    <row r="11" spans="1:26" ht="16.5" thickBot="1">
      <c r="A11" s="147">
        <v>1</v>
      </c>
      <c r="B11" s="29">
        <v>2</v>
      </c>
      <c r="C11" s="147">
        <v>3</v>
      </c>
      <c r="D11" s="29">
        <v>4</v>
      </c>
      <c r="E11" s="147">
        <v>5</v>
      </c>
      <c r="F11" s="29">
        <v>6</v>
      </c>
      <c r="G11" s="147">
        <v>7</v>
      </c>
      <c r="H11" s="29">
        <v>8</v>
      </c>
      <c r="I11" s="147">
        <v>9</v>
      </c>
      <c r="J11" s="29">
        <v>10</v>
      </c>
      <c r="K11" s="21">
        <v>11</v>
      </c>
      <c r="L11" s="16"/>
      <c r="M11" s="153" t="s">
        <v>37</v>
      </c>
      <c r="N11" s="154" t="s">
        <v>38</v>
      </c>
      <c r="O11" s="154" t="s">
        <v>39</v>
      </c>
      <c r="P11" s="154" t="s">
        <v>40</v>
      </c>
      <c r="Q11" s="154" t="s">
        <v>41</v>
      </c>
      <c r="R11" s="154" t="s">
        <v>42</v>
      </c>
      <c r="S11" s="154" t="s">
        <v>43</v>
      </c>
      <c r="T11" s="154" t="s">
        <v>44</v>
      </c>
      <c r="U11" s="154" t="s">
        <v>45</v>
      </c>
      <c r="V11" s="30" t="s">
        <v>46</v>
      </c>
      <c r="W11" s="2"/>
      <c r="X11" s="2"/>
      <c r="Y11" s="2"/>
      <c r="Z11" s="2"/>
    </row>
    <row r="12" spans="1:26" s="10" customFormat="1" ht="16.5" thickBot="1">
      <c r="A12" s="111"/>
      <c r="B12" s="111"/>
      <c r="C12" s="111"/>
      <c r="D12" s="111"/>
      <c r="E12" s="110"/>
      <c r="F12" s="93">
        <f>G12*$G$10</f>
        <v>0</v>
      </c>
      <c r="G12" s="100"/>
      <c r="H12" s="94">
        <f t="shared" ref="H12" si="0">IF(E12&gt;0,E12*F12/$N$12,0)</f>
        <v>0</v>
      </c>
      <c r="I12" s="31">
        <f t="shared" ref="I12" si="1">IF(E12&gt;0,U$12*H12/E12,0)</f>
        <v>0</v>
      </c>
      <c r="J12" s="31">
        <f t="shared" ref="J12" si="2">F12+I12</f>
        <v>0</v>
      </c>
      <c r="K12" s="32">
        <f t="shared" ref="K12" si="3">E12*J12</f>
        <v>0</v>
      </c>
      <c r="L12" s="148"/>
      <c r="M12" s="149">
        <f>G22</f>
        <v>0</v>
      </c>
      <c r="N12" s="150">
        <f>F22</f>
        <v>0</v>
      </c>
      <c r="O12" s="151" t="s">
        <v>47</v>
      </c>
      <c r="P12" s="151"/>
      <c r="Q12" s="151" t="s">
        <v>47</v>
      </c>
      <c r="R12" s="151" t="s">
        <v>47</v>
      </c>
      <c r="S12" s="151"/>
      <c r="T12" s="151" t="s">
        <v>47</v>
      </c>
      <c r="U12" s="150">
        <f>SUM(O12:T12)</f>
        <v>0</v>
      </c>
      <c r="V12" s="152">
        <f>N12+U12</f>
        <v>0</v>
      </c>
      <c r="W12" s="5"/>
      <c r="X12" s="5"/>
      <c r="Y12" s="5"/>
      <c r="Z12" s="5"/>
    </row>
    <row r="13" spans="1:26">
      <c r="A13" s="111"/>
      <c r="B13" s="111"/>
      <c r="C13" s="111"/>
      <c r="D13" s="111"/>
      <c r="E13" s="110"/>
      <c r="F13" s="93">
        <f t="shared" ref="F13:F20" si="4">G13*$G$10</f>
        <v>0</v>
      </c>
      <c r="G13" s="100"/>
      <c r="H13" s="94">
        <f t="shared" ref="H13:H18" si="5">IF(E13&gt;0,E13*F13/$N$12,0)</f>
        <v>0</v>
      </c>
      <c r="I13" s="156">
        <f t="shared" ref="I13:I18" si="6">IF(E13&gt;0,U$12*H13/E13,0)</f>
        <v>0</v>
      </c>
      <c r="J13" s="156">
        <f t="shared" ref="J13:J18" si="7">F13+I13</f>
        <v>0</v>
      </c>
      <c r="K13" s="157">
        <f t="shared" ref="K13:K18" si="8">E13*J13</f>
        <v>0</v>
      </c>
    </row>
    <row r="14" spans="1:26">
      <c r="A14" s="111"/>
      <c r="B14" s="111"/>
      <c r="C14" s="111"/>
      <c r="D14" s="111"/>
      <c r="E14" s="110"/>
      <c r="F14" s="93">
        <f t="shared" si="4"/>
        <v>0</v>
      </c>
      <c r="G14" s="100"/>
      <c r="H14" s="94">
        <f t="shared" si="5"/>
        <v>0</v>
      </c>
      <c r="I14" s="156">
        <f t="shared" si="6"/>
        <v>0</v>
      </c>
      <c r="J14" s="156">
        <f t="shared" si="7"/>
        <v>0</v>
      </c>
      <c r="K14" s="157">
        <f t="shared" si="8"/>
        <v>0</v>
      </c>
    </row>
    <row r="15" spans="1:26">
      <c r="A15" s="111"/>
      <c r="B15" s="111"/>
      <c r="C15" s="111"/>
      <c r="D15" s="111"/>
      <c r="E15" s="110"/>
      <c r="F15" s="93">
        <f t="shared" si="4"/>
        <v>0</v>
      </c>
      <c r="G15" s="100"/>
      <c r="H15" s="94">
        <f t="shared" si="5"/>
        <v>0</v>
      </c>
      <c r="I15" s="156">
        <f t="shared" si="6"/>
        <v>0</v>
      </c>
      <c r="J15" s="156">
        <f t="shared" si="7"/>
        <v>0</v>
      </c>
      <c r="K15" s="157">
        <f t="shared" si="8"/>
        <v>0</v>
      </c>
    </row>
    <row r="16" spans="1:26">
      <c r="A16" s="111"/>
      <c r="B16" s="111"/>
      <c r="C16" s="111"/>
      <c r="D16" s="111"/>
      <c r="E16" s="110"/>
      <c r="F16" s="93">
        <f t="shared" si="4"/>
        <v>0</v>
      </c>
      <c r="G16" s="100"/>
      <c r="H16" s="94">
        <f t="shared" si="5"/>
        <v>0</v>
      </c>
      <c r="I16" s="156">
        <f t="shared" si="6"/>
        <v>0</v>
      </c>
      <c r="J16" s="156">
        <f t="shared" si="7"/>
        <v>0</v>
      </c>
      <c r="K16" s="157">
        <f t="shared" si="8"/>
        <v>0</v>
      </c>
    </row>
    <row r="17" spans="1:11">
      <c r="A17" s="111"/>
      <c r="B17" s="111"/>
      <c r="C17" s="111"/>
      <c r="D17" s="111"/>
      <c r="E17" s="110"/>
      <c r="F17" s="93">
        <f t="shared" si="4"/>
        <v>0</v>
      </c>
      <c r="G17" s="100"/>
      <c r="H17" s="94">
        <f t="shared" si="5"/>
        <v>0</v>
      </c>
      <c r="I17" s="156">
        <f t="shared" si="6"/>
        <v>0</v>
      </c>
      <c r="J17" s="156">
        <f t="shared" si="7"/>
        <v>0</v>
      </c>
      <c r="K17" s="157">
        <f t="shared" si="8"/>
        <v>0</v>
      </c>
    </row>
    <row r="18" spans="1:11">
      <c r="A18" s="111"/>
      <c r="B18" s="111"/>
      <c r="C18" s="111"/>
      <c r="D18" s="111"/>
      <c r="E18" s="110"/>
      <c r="F18" s="93">
        <f t="shared" si="4"/>
        <v>0</v>
      </c>
      <c r="G18" s="100"/>
      <c r="H18" s="94">
        <f t="shared" si="5"/>
        <v>0</v>
      </c>
      <c r="I18" s="156">
        <f t="shared" si="6"/>
        <v>0</v>
      </c>
      <c r="J18" s="156">
        <f t="shared" si="7"/>
        <v>0</v>
      </c>
      <c r="K18" s="157">
        <f t="shared" si="8"/>
        <v>0</v>
      </c>
    </row>
    <row r="19" spans="1:11">
      <c r="A19" s="111"/>
      <c r="B19" s="111"/>
      <c r="C19" s="111"/>
      <c r="D19" s="111"/>
      <c r="E19" s="110"/>
      <c r="F19" s="93">
        <f t="shared" si="4"/>
        <v>0</v>
      </c>
      <c r="G19" s="100"/>
      <c r="H19" s="94">
        <f t="shared" ref="H19:H20" si="9">IF(E19&gt;0,E19*F19/$N$12,0)</f>
        <v>0</v>
      </c>
      <c r="I19" s="156">
        <f t="shared" ref="I19:I20" si="10">IF(E19&gt;0,U$12*H19/E19,0)</f>
        <v>0</v>
      </c>
      <c r="J19" s="156">
        <f t="shared" ref="J19:J20" si="11">F19+I19</f>
        <v>0</v>
      </c>
      <c r="K19" s="157">
        <f t="shared" ref="K19:K20" si="12">E19*J19</f>
        <v>0</v>
      </c>
    </row>
    <row r="20" spans="1:11" ht="16.5" thickBot="1">
      <c r="A20" s="111"/>
      <c r="B20" s="111"/>
      <c r="C20" s="111"/>
      <c r="D20" s="111"/>
      <c r="E20" s="110"/>
      <c r="F20" s="93">
        <f t="shared" si="4"/>
        <v>0</v>
      </c>
      <c r="G20" s="100"/>
      <c r="H20" s="94">
        <f t="shared" si="9"/>
        <v>0</v>
      </c>
      <c r="I20" s="156">
        <f t="shared" si="10"/>
        <v>0</v>
      </c>
      <c r="J20" s="156">
        <f t="shared" si="11"/>
        <v>0</v>
      </c>
      <c r="K20" s="157">
        <f t="shared" si="12"/>
        <v>0</v>
      </c>
    </row>
    <row r="21" spans="1:11" ht="16.5" thickBot="1">
      <c r="A21" s="128"/>
      <c r="B21" s="105"/>
      <c r="C21" s="105"/>
      <c r="D21" s="105"/>
      <c r="E21" s="105"/>
      <c r="F21" s="106"/>
      <c r="G21" s="106"/>
      <c r="H21" s="107"/>
      <c r="I21" s="108"/>
      <c r="J21" s="108"/>
      <c r="K21" s="109"/>
    </row>
    <row r="22" spans="1:11">
      <c r="A22" s="129"/>
      <c r="B22" s="2"/>
      <c r="C22" s="2"/>
      <c r="D22" s="2"/>
      <c r="E22" s="2"/>
      <c r="F22" s="165">
        <f>SUMPRODUCT(E12:E21,F12:F21)</f>
        <v>0</v>
      </c>
      <c r="G22" s="165">
        <f>SUMPRODUCT(E12:E21,G12:G21)</f>
        <v>0</v>
      </c>
      <c r="H22" s="2"/>
      <c r="I22" s="33"/>
      <c r="K22" s="165">
        <f>SUM(K12:K21)</f>
        <v>0</v>
      </c>
    </row>
    <row r="23" spans="1:11">
      <c r="A23" s="129"/>
      <c r="B23" s="2"/>
      <c r="C23" s="2"/>
      <c r="D23" s="2"/>
      <c r="E23" s="2"/>
      <c r="F23" s="2"/>
      <c r="G23" s="2"/>
      <c r="H23" s="2"/>
      <c r="I23" s="2"/>
    </row>
  </sheetData>
  <mergeCells count="10">
    <mergeCell ref="Q8:S8"/>
    <mergeCell ref="D9:D10"/>
    <mergeCell ref="C9:C10"/>
    <mergeCell ref="B9:B10"/>
    <mergeCell ref="A9:A10"/>
    <mergeCell ref="M8:N8"/>
    <mergeCell ref="H9:I9"/>
    <mergeCell ref="M9:N9"/>
    <mergeCell ref="F9:F10"/>
    <mergeCell ref="E9:E1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Z985"/>
  <sheetViews>
    <sheetView tabSelected="1" topLeftCell="H1" workbookViewId="0">
      <selection activeCell="Q3" sqref="Q3"/>
    </sheetView>
  </sheetViews>
  <sheetFormatPr defaultColWidth="15.7109375" defaultRowHeight="15.75"/>
  <cols>
    <col min="1" max="4" width="3.7109375" style="39" customWidth="1"/>
    <col min="5" max="5" width="6.7109375" style="142" customWidth="1"/>
    <col min="6" max="6" width="14.42578125" style="142" customWidth="1"/>
    <col min="7" max="7" width="40.7109375" style="142" customWidth="1"/>
    <col min="8" max="8" width="6.7109375" style="142" customWidth="1"/>
    <col min="9" max="9" width="13.42578125" style="39" customWidth="1"/>
    <col min="10" max="10" width="14.42578125" style="135" customWidth="1"/>
    <col min="11" max="13" width="17.7109375" style="39" customWidth="1"/>
    <col min="14" max="14" width="3.7109375" style="39" customWidth="1"/>
    <col min="15" max="15" width="17.7109375" style="39" customWidth="1"/>
    <col min="16" max="16" width="10.7109375" style="39" customWidth="1"/>
    <col min="17" max="23" width="17.7109375" style="39" customWidth="1"/>
    <col min="24" max="24" width="17.7109375" style="135" customWidth="1"/>
    <col min="25" max="16384" width="15.7109375" style="37"/>
  </cols>
  <sheetData>
    <row r="1" spans="1:25" ht="16.5" thickBot="1">
      <c r="A1" s="34"/>
      <c r="B1" s="35"/>
      <c r="C1" s="35"/>
      <c r="D1" s="35"/>
      <c r="E1" s="35"/>
      <c r="F1" s="43" t="s">
        <v>112</v>
      </c>
      <c r="G1" s="114" t="s">
        <v>48</v>
      </c>
      <c r="H1" s="115"/>
      <c r="I1" s="115"/>
      <c r="J1" s="116"/>
      <c r="K1" s="35"/>
      <c r="L1" s="35"/>
      <c r="M1" s="35">
        <v>17</v>
      </c>
      <c r="N1" s="35"/>
      <c r="O1" s="35"/>
      <c r="P1" s="35"/>
      <c r="Q1" s="36"/>
      <c r="R1" s="36"/>
      <c r="S1" s="36"/>
      <c r="T1" s="36"/>
      <c r="U1" s="36"/>
      <c r="V1" s="36"/>
      <c r="W1" s="36"/>
      <c r="X1" s="35"/>
    </row>
    <row r="2" spans="1:25" ht="16.5" thickBot="1">
      <c r="A2" s="38"/>
      <c r="D2" s="40" t="s">
        <v>49</v>
      </c>
      <c r="E2" s="39"/>
      <c r="F2" s="39"/>
      <c r="G2" s="41"/>
      <c r="H2" s="41"/>
      <c r="I2" s="41"/>
      <c r="J2" s="41"/>
      <c r="Q2" s="40"/>
      <c r="R2" s="40"/>
      <c r="S2" s="40"/>
      <c r="T2" s="40"/>
      <c r="U2" s="40"/>
      <c r="V2" s="40"/>
      <c r="W2" s="40"/>
      <c r="X2" s="39"/>
    </row>
    <row r="3" spans="1:25" ht="16.5" thickBot="1">
      <c r="A3" s="38"/>
      <c r="E3" s="39"/>
      <c r="F3" s="43" t="s">
        <v>113</v>
      </c>
      <c r="G3" s="114"/>
      <c r="H3" s="115"/>
      <c r="I3" s="115"/>
      <c r="J3" s="116"/>
      <c r="M3" s="42"/>
      <c r="N3" s="42"/>
      <c r="Q3" s="40"/>
      <c r="R3" s="40"/>
      <c r="S3" s="40"/>
      <c r="T3" s="40"/>
      <c r="U3" s="40"/>
      <c r="W3" s="40"/>
      <c r="X3" s="39"/>
    </row>
    <row r="4" spans="1:25" ht="16.5" thickBot="1">
      <c r="A4" s="38"/>
      <c r="E4" s="39"/>
      <c r="F4" s="39"/>
      <c r="G4" s="41"/>
      <c r="H4" s="41"/>
      <c r="I4" s="41"/>
      <c r="J4" s="41"/>
      <c r="Q4" s="40"/>
      <c r="R4" s="40"/>
      <c r="S4" s="40"/>
      <c r="T4" s="40"/>
      <c r="U4" s="40"/>
      <c r="W4" s="40"/>
      <c r="X4" s="39"/>
    </row>
    <row r="5" spans="1:25" ht="16.5" thickBot="1">
      <c r="A5" s="38"/>
      <c r="E5" s="39"/>
      <c r="F5" s="39"/>
      <c r="G5" s="43" t="s">
        <v>50</v>
      </c>
      <c r="H5" s="114"/>
      <c r="I5" s="116"/>
      <c r="J5" s="41"/>
      <c r="T5" s="40"/>
      <c r="U5" s="40"/>
      <c r="W5" s="40"/>
      <c r="X5" s="39"/>
    </row>
    <row r="6" spans="1:25" ht="16.5" thickBot="1">
      <c r="A6" s="38"/>
      <c r="E6" s="39"/>
      <c r="F6" s="39"/>
      <c r="G6" s="39"/>
      <c r="H6" s="41"/>
      <c r="I6" s="41"/>
      <c r="J6" s="39"/>
      <c r="T6" s="40"/>
      <c r="U6" s="40"/>
      <c r="V6" s="40"/>
      <c r="W6" s="44"/>
      <c r="X6" s="39"/>
    </row>
    <row r="7" spans="1:25" ht="16.5" thickBot="1">
      <c r="A7" s="38"/>
      <c r="E7" s="39"/>
      <c r="G7" s="43" t="s">
        <v>51</v>
      </c>
      <c r="H7" s="113"/>
      <c r="I7" s="46"/>
      <c r="J7" s="46"/>
      <c r="M7" s="47"/>
      <c r="O7" s="206" t="s">
        <v>115</v>
      </c>
      <c r="P7" s="48"/>
      <c r="Q7" s="49"/>
      <c r="S7" s="48"/>
      <c r="T7" s="48"/>
      <c r="U7" s="48"/>
      <c r="V7" s="48"/>
      <c r="W7" s="48"/>
      <c r="X7" s="39"/>
    </row>
    <row r="8" spans="1:25" ht="16.5" thickBot="1">
      <c r="A8" s="38"/>
      <c r="E8" s="39"/>
      <c r="F8" s="39"/>
      <c r="G8" s="43" t="s">
        <v>3</v>
      </c>
      <c r="H8" s="114"/>
      <c r="I8" s="115"/>
      <c r="J8" s="116"/>
      <c r="K8" s="50"/>
      <c r="L8" s="205" t="s">
        <v>114</v>
      </c>
      <c r="M8" s="118"/>
      <c r="N8" s="115"/>
      <c r="O8" s="207"/>
      <c r="P8"/>
      <c r="Q8"/>
      <c r="S8" s="48"/>
      <c r="T8" s="48"/>
      <c r="U8" s="48"/>
      <c r="V8" s="48"/>
      <c r="X8" s="39"/>
    </row>
    <row r="9" spans="1:25" ht="32.25" customHeight="1" thickBot="1">
      <c r="A9" s="193" t="s">
        <v>52</v>
      </c>
      <c r="B9" s="194"/>
      <c r="C9" s="195"/>
      <c r="D9" s="196" t="s">
        <v>53</v>
      </c>
      <c r="E9" s="51" t="s">
        <v>54</v>
      </c>
      <c r="F9" s="52" t="s">
        <v>55</v>
      </c>
      <c r="G9" s="53" t="s">
        <v>56</v>
      </c>
      <c r="H9" s="52" t="s">
        <v>57</v>
      </c>
      <c r="I9" s="54" t="s">
        <v>21</v>
      </c>
      <c r="J9" s="51" t="s">
        <v>58</v>
      </c>
      <c r="K9" s="51" t="s">
        <v>59</v>
      </c>
      <c r="L9" s="199" t="s">
        <v>60</v>
      </c>
      <c r="M9" s="200"/>
      <c r="N9" s="201"/>
      <c r="O9" s="52" t="s">
        <v>59</v>
      </c>
      <c r="P9" s="51" t="s">
        <v>61</v>
      </c>
      <c r="Q9" s="51" t="s">
        <v>61</v>
      </c>
      <c r="R9" s="55" t="s">
        <v>62</v>
      </c>
      <c r="S9" s="202" t="s">
        <v>63</v>
      </c>
      <c r="T9" s="203"/>
      <c r="U9" s="202" t="s">
        <v>64</v>
      </c>
      <c r="V9" s="204"/>
      <c r="W9" s="56" t="s">
        <v>65</v>
      </c>
      <c r="X9" s="57" t="s">
        <v>66</v>
      </c>
      <c r="Y9" s="58"/>
    </row>
    <row r="10" spans="1:25" ht="16.5" thickBot="1">
      <c r="A10" s="155"/>
      <c r="B10" s="155"/>
      <c r="C10" s="166"/>
      <c r="D10" s="197"/>
      <c r="E10" s="59"/>
      <c r="F10" s="60"/>
      <c r="G10" s="60"/>
      <c r="H10" s="60"/>
      <c r="I10" s="59"/>
      <c r="J10" s="61" t="s">
        <v>67</v>
      </c>
      <c r="K10" s="62" t="s">
        <v>68</v>
      </c>
      <c r="L10" s="63">
        <f>A10/100</f>
        <v>0</v>
      </c>
      <c r="M10" s="64">
        <f>B10/100</f>
        <v>0</v>
      </c>
      <c r="N10" s="112"/>
      <c r="O10" s="65" t="s">
        <v>69</v>
      </c>
      <c r="P10" s="62" t="s">
        <v>23</v>
      </c>
      <c r="Q10" s="62" t="s">
        <v>70</v>
      </c>
      <c r="R10" s="62" t="s">
        <v>71</v>
      </c>
      <c r="S10" s="66">
        <f>A10/100</f>
        <v>0</v>
      </c>
      <c r="T10" s="66">
        <f>B10/100</f>
        <v>0</v>
      </c>
      <c r="U10" s="66">
        <f>A10/100</f>
        <v>0</v>
      </c>
      <c r="V10" s="67">
        <f>B10/100</f>
        <v>0</v>
      </c>
      <c r="W10" s="68" t="s">
        <v>72</v>
      </c>
      <c r="X10" s="69" t="s">
        <v>73</v>
      </c>
      <c r="Y10" s="58"/>
    </row>
    <row r="11" spans="1:25" ht="16.5" thickBot="1">
      <c r="A11" s="70" t="s">
        <v>74</v>
      </c>
      <c r="B11" s="71" t="s">
        <v>75</v>
      </c>
      <c r="C11" s="71" t="s">
        <v>76</v>
      </c>
      <c r="D11" s="198"/>
      <c r="E11" s="72">
        <v>1</v>
      </c>
      <c r="F11" s="71">
        <v>2</v>
      </c>
      <c r="G11" s="73">
        <v>3</v>
      </c>
      <c r="H11" s="73">
        <v>4</v>
      </c>
      <c r="I11" s="72">
        <v>5</v>
      </c>
      <c r="J11" s="72">
        <v>6</v>
      </c>
      <c r="K11" s="72">
        <v>7</v>
      </c>
      <c r="L11" s="74" t="s">
        <v>77</v>
      </c>
      <c r="M11" s="74" t="s">
        <v>78</v>
      </c>
      <c r="N11" s="74" t="s">
        <v>79</v>
      </c>
      <c r="O11" s="73" t="s">
        <v>46</v>
      </c>
      <c r="P11" s="72" t="s">
        <v>80</v>
      </c>
      <c r="Q11" s="72" t="s">
        <v>81</v>
      </c>
      <c r="R11" s="72" t="s">
        <v>82</v>
      </c>
      <c r="S11" s="74" t="s">
        <v>83</v>
      </c>
      <c r="T11" s="74" t="s">
        <v>84</v>
      </c>
      <c r="U11" s="72" t="s">
        <v>85</v>
      </c>
      <c r="V11" s="72" t="s">
        <v>86</v>
      </c>
      <c r="W11" s="73" t="s">
        <v>87</v>
      </c>
      <c r="X11" s="75" t="s">
        <v>88</v>
      </c>
      <c r="Y11" s="58"/>
    </row>
    <row r="12" spans="1:25">
      <c r="A12" s="76">
        <f t="shared" ref="A12:A16" si="0">IF(D12="a",1,0)</f>
        <v>0</v>
      </c>
      <c r="B12" s="77">
        <f t="shared" ref="B12:B16" si="1">IF(D12="b",1,0)</f>
        <v>0</v>
      </c>
      <c r="C12" s="77">
        <f>IF(D12="c",1,0)</f>
        <v>0</v>
      </c>
      <c r="D12" s="117"/>
      <c r="E12" s="145"/>
      <c r="F12" s="140"/>
      <c r="G12" s="140"/>
      <c r="H12" s="140"/>
      <c r="I12" s="117"/>
      <c r="J12" s="136"/>
      <c r="K12" s="78">
        <f>O12+SUM(L12:M12)</f>
        <v>0</v>
      </c>
      <c r="L12" s="78">
        <f>IF(N12="c",0,IF(A12&gt;0,$L$10*O12/(1+$L$10),0))</f>
        <v>0</v>
      </c>
      <c r="M12" s="78">
        <f>IF(N12="c",0,IF(B12&gt;0,$M$10*O12/(1+$M$10),0))</f>
        <v>0</v>
      </c>
      <c r="N12" s="119"/>
      <c r="O12" s="78">
        <f>I12*J12</f>
        <v>0</v>
      </c>
      <c r="P12" s="79">
        <f>IF(O12&lt;&gt;0,100*(R12/O12-1),0)</f>
        <v>0</v>
      </c>
      <c r="Q12" s="78">
        <f>R12-O12</f>
        <v>0</v>
      </c>
      <c r="R12" s="78">
        <f>W12-SUM(U12:V12)</f>
        <v>0</v>
      </c>
      <c r="S12" s="78">
        <f t="shared" ref="S12:T16" si="2">U12-L12</f>
        <v>0</v>
      </c>
      <c r="T12" s="78">
        <f t="shared" si="2"/>
        <v>0</v>
      </c>
      <c r="U12" s="78">
        <f>IF(A12&gt;0,$U$10*W12/(1+$U$10),0)</f>
        <v>0</v>
      </c>
      <c r="V12" s="78">
        <f>IF(B12&gt;0,$V$10*W12/(1+$V$10),0)</f>
        <v>0</v>
      </c>
      <c r="W12" s="80">
        <f t="shared" ref="W12:W16" si="3">I12*X12</f>
        <v>0</v>
      </c>
      <c r="X12" s="131"/>
      <c r="Y12" s="58"/>
    </row>
    <row r="13" spans="1:25">
      <c r="A13" s="76">
        <f t="shared" si="0"/>
        <v>0</v>
      </c>
      <c r="B13" s="81">
        <f t="shared" si="1"/>
        <v>0</v>
      </c>
      <c r="C13" s="81">
        <f t="shared" ref="C13:C16" si="4">IF(D13="c",1,0)</f>
        <v>0</v>
      </c>
      <c r="D13" s="117" t="s">
        <v>89</v>
      </c>
      <c r="E13" s="145"/>
      <c r="F13" s="140"/>
      <c r="G13" s="140"/>
      <c r="H13" s="140"/>
      <c r="I13" s="117"/>
      <c r="J13" s="136"/>
      <c r="K13" s="78">
        <f t="shared" ref="K13:K16" si="5">O13+SUM(L13:M13)</f>
        <v>0</v>
      </c>
      <c r="L13" s="78">
        <f t="shared" ref="L13:L16" si="6">IF(N13="c",0,IF(A13&gt;0,$L$10*O13/(1+$L$10),0))</f>
        <v>0</v>
      </c>
      <c r="M13" s="78">
        <f t="shared" ref="M13:M16" si="7">IF(N13="c",0,IF(B13&gt;0,$M$10*O13/(1+$M$10),0))</f>
        <v>0</v>
      </c>
      <c r="N13" s="117"/>
      <c r="O13" s="78">
        <f t="shared" ref="O13:O16" si="8">I13*J13</f>
        <v>0</v>
      </c>
      <c r="P13" s="79">
        <f t="shared" ref="P13:P16" si="9">IF(O13&lt;&gt;0,100*(R13/O13-1),0)</f>
        <v>0</v>
      </c>
      <c r="Q13" s="78">
        <f t="shared" ref="Q13:Q16" si="10">R13-O13</f>
        <v>0</v>
      </c>
      <c r="R13" s="78">
        <f t="shared" ref="R13:R16" si="11">W13-SUM(U13:V13)</f>
        <v>0</v>
      </c>
      <c r="S13" s="78">
        <f t="shared" si="2"/>
        <v>0</v>
      </c>
      <c r="T13" s="78">
        <f t="shared" si="2"/>
        <v>0</v>
      </c>
      <c r="U13" s="78">
        <f t="shared" ref="U13:U16" si="12">IF(A13&gt;0,$U$10*W13/(1+$U$10),0)</f>
        <v>0</v>
      </c>
      <c r="V13" s="78">
        <f t="shared" ref="V13:V16" si="13">IF(B13&gt;0,$V$10*W13/(1+$V$10),0)</f>
        <v>0</v>
      </c>
      <c r="W13" s="80">
        <f t="shared" si="3"/>
        <v>0</v>
      </c>
      <c r="X13" s="132"/>
      <c r="Y13" s="58"/>
    </row>
    <row r="14" spans="1:25">
      <c r="A14" s="76">
        <f t="shared" si="0"/>
        <v>0</v>
      </c>
      <c r="B14" s="81">
        <f t="shared" si="1"/>
        <v>0</v>
      </c>
      <c r="C14" s="81">
        <f t="shared" si="4"/>
        <v>0</v>
      </c>
      <c r="D14" s="117" t="s">
        <v>89</v>
      </c>
      <c r="E14" s="145"/>
      <c r="F14" s="140"/>
      <c r="G14" s="140"/>
      <c r="H14" s="140"/>
      <c r="I14" s="117"/>
      <c r="J14" s="136"/>
      <c r="K14" s="78">
        <f t="shared" si="5"/>
        <v>0</v>
      </c>
      <c r="L14" s="78">
        <f t="shared" si="6"/>
        <v>0</v>
      </c>
      <c r="M14" s="78">
        <f t="shared" si="7"/>
        <v>0</v>
      </c>
      <c r="N14" s="117"/>
      <c r="O14" s="78">
        <f t="shared" si="8"/>
        <v>0</v>
      </c>
      <c r="P14" s="79">
        <f t="shared" si="9"/>
        <v>0</v>
      </c>
      <c r="Q14" s="78">
        <f t="shared" si="10"/>
        <v>0</v>
      </c>
      <c r="R14" s="78">
        <f t="shared" si="11"/>
        <v>0</v>
      </c>
      <c r="S14" s="78">
        <f t="shared" si="2"/>
        <v>0</v>
      </c>
      <c r="T14" s="78">
        <f t="shared" si="2"/>
        <v>0</v>
      </c>
      <c r="U14" s="78">
        <f t="shared" si="12"/>
        <v>0</v>
      </c>
      <c r="V14" s="78">
        <f t="shared" si="13"/>
        <v>0</v>
      </c>
      <c r="W14" s="80">
        <f t="shared" si="3"/>
        <v>0</v>
      </c>
      <c r="X14" s="132"/>
      <c r="Y14" s="58"/>
    </row>
    <row r="15" spans="1:25">
      <c r="A15" s="76">
        <f t="shared" si="0"/>
        <v>0</v>
      </c>
      <c r="B15" s="81">
        <f t="shared" si="1"/>
        <v>0</v>
      </c>
      <c r="C15" s="81">
        <f t="shared" si="4"/>
        <v>0</v>
      </c>
      <c r="D15" s="117" t="s">
        <v>89</v>
      </c>
      <c r="E15" s="145"/>
      <c r="F15" s="140"/>
      <c r="G15" s="140"/>
      <c r="H15" s="140"/>
      <c r="I15" s="117"/>
      <c r="J15" s="136"/>
      <c r="K15" s="78">
        <f t="shared" si="5"/>
        <v>0</v>
      </c>
      <c r="L15" s="78">
        <f t="shared" si="6"/>
        <v>0</v>
      </c>
      <c r="M15" s="78">
        <f t="shared" si="7"/>
        <v>0</v>
      </c>
      <c r="N15" s="117"/>
      <c r="O15" s="78">
        <f t="shared" si="8"/>
        <v>0</v>
      </c>
      <c r="P15" s="79">
        <f t="shared" si="9"/>
        <v>0</v>
      </c>
      <c r="Q15" s="78">
        <f t="shared" si="10"/>
        <v>0</v>
      </c>
      <c r="R15" s="78">
        <f t="shared" si="11"/>
        <v>0</v>
      </c>
      <c r="S15" s="78">
        <f t="shared" si="2"/>
        <v>0</v>
      </c>
      <c r="T15" s="78">
        <f t="shared" si="2"/>
        <v>0</v>
      </c>
      <c r="U15" s="78">
        <f t="shared" si="12"/>
        <v>0</v>
      </c>
      <c r="V15" s="78">
        <f t="shared" si="13"/>
        <v>0</v>
      </c>
      <c r="W15" s="80">
        <f t="shared" si="3"/>
        <v>0</v>
      </c>
      <c r="X15" s="132"/>
      <c r="Y15" s="58"/>
    </row>
    <row r="16" spans="1:25">
      <c r="A16" s="76">
        <f t="shared" si="0"/>
        <v>0</v>
      </c>
      <c r="B16" s="81">
        <f t="shared" si="1"/>
        <v>0</v>
      </c>
      <c r="C16" s="81">
        <f t="shared" si="4"/>
        <v>0</v>
      </c>
      <c r="D16" s="117" t="s">
        <v>89</v>
      </c>
      <c r="E16" s="145"/>
      <c r="F16" s="140"/>
      <c r="G16" s="140"/>
      <c r="H16" s="140"/>
      <c r="I16" s="117"/>
      <c r="J16" s="136"/>
      <c r="K16" s="78">
        <f t="shared" si="5"/>
        <v>0</v>
      </c>
      <c r="L16" s="78">
        <f t="shared" si="6"/>
        <v>0</v>
      </c>
      <c r="M16" s="78">
        <f t="shared" si="7"/>
        <v>0</v>
      </c>
      <c r="N16" s="117"/>
      <c r="O16" s="78">
        <f t="shared" si="8"/>
        <v>0</v>
      </c>
      <c r="P16" s="79">
        <f t="shared" si="9"/>
        <v>0</v>
      </c>
      <c r="Q16" s="78">
        <f t="shared" si="10"/>
        <v>0</v>
      </c>
      <c r="R16" s="78">
        <f t="shared" si="11"/>
        <v>0</v>
      </c>
      <c r="S16" s="78">
        <f t="shared" si="2"/>
        <v>0</v>
      </c>
      <c r="T16" s="78">
        <f t="shared" si="2"/>
        <v>0</v>
      </c>
      <c r="U16" s="78">
        <f t="shared" si="12"/>
        <v>0</v>
      </c>
      <c r="V16" s="78">
        <f t="shared" si="13"/>
        <v>0</v>
      </c>
      <c r="W16" s="80">
        <f t="shared" si="3"/>
        <v>0</v>
      </c>
      <c r="X16" s="132"/>
      <c r="Y16" s="58"/>
    </row>
    <row r="17" spans="1:26" ht="16.5" thickBot="1">
      <c r="A17" s="160">
        <f t="shared" ref="A17" si="14">IF(D17="a",1,0)</f>
        <v>0</v>
      </c>
      <c r="B17" s="164">
        <f t="shared" ref="B17" si="15">IF(D17="b",1,0)</f>
        <v>0</v>
      </c>
      <c r="C17" s="164">
        <f t="shared" ref="C17" si="16">IF(D17="c",1,0)</f>
        <v>0</v>
      </c>
      <c r="D17" s="117" t="s">
        <v>89</v>
      </c>
      <c r="E17" s="145"/>
      <c r="F17" s="140"/>
      <c r="G17" s="140"/>
      <c r="H17" s="140"/>
      <c r="I17" s="117"/>
      <c r="J17" s="136"/>
      <c r="K17" s="161">
        <f t="shared" ref="K17" si="17">O17+SUM(L17:M17)</f>
        <v>0</v>
      </c>
      <c r="L17" s="161">
        <f t="shared" ref="L17" si="18">IF(N17="c",0,IF(A17&gt;0,$L$10*O17/(1+$L$10),0))</f>
        <v>0</v>
      </c>
      <c r="M17" s="161">
        <f t="shared" ref="M17" si="19">IF(N17="c",0,IF(B17&gt;0,$M$10*O17/(1+$M$10),0))</f>
        <v>0</v>
      </c>
      <c r="N17" s="117"/>
      <c r="O17" s="161">
        <f t="shared" ref="O17" si="20">I17*J17</f>
        <v>0</v>
      </c>
      <c r="P17" s="162">
        <f t="shared" ref="P17" si="21">IF(O17&lt;&gt;0,100*(R17/O17-1),0)</f>
        <v>0</v>
      </c>
      <c r="Q17" s="161">
        <f t="shared" ref="Q17" si="22">R17-O17</f>
        <v>0</v>
      </c>
      <c r="R17" s="161">
        <f t="shared" ref="R17" si="23">W17-SUM(U17:V17)</f>
        <v>0</v>
      </c>
      <c r="S17" s="161">
        <f t="shared" ref="S17" si="24">U17-L17</f>
        <v>0</v>
      </c>
      <c r="T17" s="161">
        <f t="shared" ref="T17" si="25">V17-M17</f>
        <v>0</v>
      </c>
      <c r="U17" s="161">
        <f t="shared" ref="U17" si="26">IF(A17&gt;0,$U$10*W17/(1+$U$10),0)</f>
        <v>0</v>
      </c>
      <c r="V17" s="161">
        <f t="shared" ref="V17" si="27">IF(B17&gt;0,$V$10*W17/(1+$V$10),0)</f>
        <v>0</v>
      </c>
      <c r="W17" s="163">
        <f t="shared" ref="W17" si="28">I17*X17</f>
        <v>0</v>
      </c>
      <c r="X17" s="132"/>
      <c r="Y17" s="159"/>
      <c r="Z17" s="158"/>
    </row>
    <row r="18" spans="1:26" ht="16.5" thickBot="1">
      <c r="A18" s="120"/>
      <c r="B18" s="121"/>
      <c r="C18" s="121"/>
      <c r="D18" s="122"/>
      <c r="E18" s="146"/>
      <c r="F18" s="141"/>
      <c r="G18" s="141"/>
      <c r="H18" s="141"/>
      <c r="I18" s="122"/>
      <c r="J18" s="137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33"/>
      <c r="Y18" s="58"/>
    </row>
    <row r="19" spans="1:26" ht="16.5" thickBot="1">
      <c r="A19" s="45"/>
      <c r="B19" s="45"/>
      <c r="C19" s="45"/>
      <c r="D19" s="45"/>
      <c r="E19" s="143"/>
      <c r="F19" s="143"/>
      <c r="G19" s="144"/>
      <c r="I19" s="82">
        <f>SUM(I12:I18)</f>
        <v>0</v>
      </c>
      <c r="J19" s="138" t="s">
        <v>90</v>
      </c>
      <c r="K19" s="78">
        <f>SUM(K12:K18)</f>
        <v>0</v>
      </c>
      <c r="L19" s="161">
        <f>SUM(L12:L18)</f>
        <v>0</v>
      </c>
      <c r="M19" s="161">
        <f>SUM(M12:M18)</f>
        <v>0</v>
      </c>
      <c r="N19" s="161">
        <f>SUM(N12:N18)</f>
        <v>0</v>
      </c>
      <c r="O19" s="161">
        <f>SUM(O12:O18)</f>
        <v>0</v>
      </c>
      <c r="P19" s="83">
        <f>SUM(P12:P16)</f>
        <v>0</v>
      </c>
      <c r="Q19" s="161">
        <f t="shared" ref="Q19:X19" si="29">SUM(Q12:Q18)</f>
        <v>0</v>
      </c>
      <c r="R19" s="161">
        <f t="shared" si="29"/>
        <v>0</v>
      </c>
      <c r="S19" s="161">
        <f t="shared" si="29"/>
        <v>0</v>
      </c>
      <c r="T19" s="161">
        <f t="shared" si="29"/>
        <v>0</v>
      </c>
      <c r="U19" s="161">
        <f t="shared" si="29"/>
        <v>0</v>
      </c>
      <c r="V19" s="161">
        <f t="shared" si="29"/>
        <v>0</v>
      </c>
      <c r="W19" s="161">
        <f t="shared" si="29"/>
        <v>0</v>
      </c>
      <c r="X19" s="167">
        <f t="shared" si="29"/>
        <v>0</v>
      </c>
    </row>
    <row r="20" spans="1:26">
      <c r="J20" s="139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134"/>
    </row>
    <row r="21" spans="1:26">
      <c r="U21" s="40"/>
      <c r="V21" s="40"/>
    </row>
    <row r="22" spans="1:26">
      <c r="A22" s="45"/>
      <c r="B22" s="45"/>
      <c r="C22" s="45"/>
      <c r="D22" s="45"/>
      <c r="E22" s="143"/>
      <c r="F22" s="143"/>
      <c r="G22" s="143"/>
      <c r="H22" s="143"/>
      <c r="I22" s="45"/>
    </row>
    <row r="80" spans="1:1">
      <c r="A80" s="84"/>
    </row>
    <row r="89" spans="1:1">
      <c r="A89" s="84"/>
    </row>
    <row r="90" spans="1:1">
      <c r="A90" s="84"/>
    </row>
    <row r="91" spans="1:1">
      <c r="A91" s="40"/>
    </row>
    <row r="188" spans="5:24" s="39" customFormat="1">
      <c r="E188" s="142"/>
      <c r="F188" s="142"/>
      <c r="G188" s="142"/>
      <c r="H188" s="142"/>
      <c r="J188" s="135"/>
      <c r="X188" s="135"/>
    </row>
    <row r="202" spans="5:24" s="39" customFormat="1">
      <c r="E202" s="142"/>
      <c r="F202" s="142"/>
      <c r="G202" s="142"/>
      <c r="H202" s="142"/>
      <c r="J202" s="135"/>
      <c r="X202" s="135"/>
    </row>
    <row r="203" spans="5:24" s="39" customFormat="1">
      <c r="E203" s="142"/>
      <c r="F203" s="142"/>
      <c r="G203" s="142"/>
      <c r="H203" s="142"/>
      <c r="J203" s="135"/>
      <c r="X203" s="135"/>
    </row>
    <row r="204" spans="5:24" s="39" customFormat="1">
      <c r="E204" s="142"/>
      <c r="F204" s="142"/>
      <c r="G204" s="142"/>
      <c r="H204" s="142"/>
      <c r="J204" s="135"/>
      <c r="X204" s="135"/>
    </row>
    <row r="205" spans="5:24" s="39" customFormat="1">
      <c r="E205" s="142"/>
      <c r="F205" s="142"/>
      <c r="G205" s="142"/>
      <c r="H205" s="142"/>
      <c r="J205" s="135"/>
      <c r="X205" s="135"/>
    </row>
    <row r="206" spans="5:24" s="39" customFormat="1">
      <c r="E206" s="142"/>
      <c r="F206" s="142"/>
      <c r="G206" s="142"/>
      <c r="H206" s="142"/>
      <c r="J206" s="135"/>
      <c r="X206" s="135"/>
    </row>
    <row r="207" spans="5:24" s="39" customFormat="1">
      <c r="E207" s="142"/>
      <c r="F207" s="142"/>
      <c r="G207" s="142"/>
      <c r="H207" s="142"/>
      <c r="J207" s="135"/>
      <c r="X207" s="135"/>
    </row>
    <row r="208" spans="5:24" s="39" customFormat="1">
      <c r="E208" s="142"/>
      <c r="F208" s="142"/>
      <c r="G208" s="142"/>
      <c r="H208" s="142"/>
      <c r="J208" s="135"/>
      <c r="X208" s="135"/>
    </row>
    <row r="209" spans="5:24" s="39" customFormat="1">
      <c r="E209" s="142"/>
      <c r="F209" s="142"/>
      <c r="G209" s="142"/>
      <c r="H209" s="142"/>
      <c r="J209" s="135"/>
      <c r="X209" s="135"/>
    </row>
    <row r="210" spans="5:24" s="39" customFormat="1">
      <c r="E210" s="142"/>
      <c r="F210" s="142"/>
      <c r="G210" s="142"/>
      <c r="H210" s="142"/>
      <c r="J210" s="135"/>
      <c r="X210" s="135"/>
    </row>
    <row r="211" spans="5:24" s="39" customFormat="1">
      <c r="E211" s="142"/>
      <c r="F211" s="142"/>
      <c r="G211" s="142"/>
      <c r="H211" s="142"/>
      <c r="J211" s="135"/>
      <c r="X211" s="135"/>
    </row>
    <row r="212" spans="5:24" s="39" customFormat="1">
      <c r="E212" s="142"/>
      <c r="F212" s="142"/>
      <c r="G212" s="142"/>
      <c r="H212" s="142"/>
      <c r="J212" s="135"/>
      <c r="X212" s="135"/>
    </row>
    <row r="213" spans="5:24" s="39" customFormat="1">
      <c r="E213" s="142"/>
      <c r="F213" s="142"/>
      <c r="G213" s="142"/>
      <c r="H213" s="142"/>
      <c r="J213" s="135"/>
      <c r="X213" s="135"/>
    </row>
    <row r="214" spans="5:24" s="39" customFormat="1">
      <c r="E214" s="142"/>
      <c r="F214" s="142"/>
      <c r="G214" s="142"/>
      <c r="H214" s="142"/>
      <c r="J214" s="135"/>
      <c r="X214" s="135"/>
    </row>
    <row r="215" spans="5:24" s="39" customFormat="1">
      <c r="E215" s="142"/>
      <c r="F215" s="142"/>
      <c r="G215" s="142"/>
      <c r="H215" s="142"/>
      <c r="J215" s="135"/>
      <c r="X215" s="135"/>
    </row>
    <row r="216" spans="5:24" s="39" customFormat="1">
      <c r="E216" s="142"/>
      <c r="F216" s="142"/>
      <c r="G216" s="142"/>
      <c r="H216" s="142"/>
      <c r="J216" s="135"/>
      <c r="X216" s="135"/>
    </row>
    <row r="217" spans="5:24" s="39" customFormat="1">
      <c r="E217" s="142"/>
      <c r="F217" s="142"/>
      <c r="G217" s="142"/>
      <c r="H217" s="142"/>
      <c r="J217" s="135"/>
      <c r="X217" s="135"/>
    </row>
    <row r="218" spans="5:24" s="39" customFormat="1">
      <c r="E218" s="142"/>
      <c r="F218" s="142"/>
      <c r="G218" s="142"/>
      <c r="H218" s="142"/>
      <c r="J218" s="135"/>
      <c r="X218" s="135"/>
    </row>
    <row r="219" spans="5:24" s="39" customFormat="1">
      <c r="E219" s="142"/>
      <c r="F219" s="142"/>
      <c r="G219" s="142"/>
      <c r="H219" s="142"/>
      <c r="J219" s="135"/>
      <c r="X219" s="135"/>
    </row>
    <row r="220" spans="5:24" s="39" customFormat="1">
      <c r="E220" s="142"/>
      <c r="F220" s="142"/>
      <c r="G220" s="142"/>
      <c r="H220" s="142"/>
      <c r="J220" s="135"/>
      <c r="X220" s="135"/>
    </row>
    <row r="221" spans="5:24" s="39" customFormat="1">
      <c r="E221" s="142"/>
      <c r="F221" s="142"/>
      <c r="G221" s="142"/>
      <c r="H221" s="142"/>
      <c r="J221" s="135"/>
      <c r="X221" s="135"/>
    </row>
    <row r="222" spans="5:24" s="39" customFormat="1">
      <c r="E222" s="142"/>
      <c r="F222" s="142"/>
      <c r="G222" s="142"/>
      <c r="H222" s="142"/>
      <c r="J222" s="135"/>
      <c r="X222" s="135"/>
    </row>
    <row r="223" spans="5:24" s="39" customFormat="1">
      <c r="E223" s="142"/>
      <c r="F223" s="142"/>
      <c r="G223" s="142"/>
      <c r="H223" s="142"/>
      <c r="J223" s="135"/>
      <c r="X223" s="135"/>
    </row>
    <row r="224" spans="5:24" s="39" customFormat="1">
      <c r="E224" s="142"/>
      <c r="F224" s="142"/>
      <c r="G224" s="142"/>
      <c r="H224" s="142"/>
      <c r="J224" s="135"/>
      <c r="X224" s="135"/>
    </row>
    <row r="225" spans="5:24" s="39" customFormat="1">
      <c r="E225" s="142"/>
      <c r="F225" s="142"/>
      <c r="G225" s="142"/>
      <c r="H225" s="142"/>
      <c r="J225" s="135"/>
      <c r="X225" s="135"/>
    </row>
    <row r="226" spans="5:24" s="39" customFormat="1">
      <c r="E226" s="142"/>
      <c r="F226" s="142"/>
      <c r="G226" s="142"/>
      <c r="H226" s="142"/>
      <c r="J226" s="135"/>
      <c r="X226" s="135"/>
    </row>
    <row r="227" spans="5:24" s="39" customFormat="1">
      <c r="E227" s="142"/>
      <c r="F227" s="142"/>
      <c r="G227" s="142"/>
      <c r="H227" s="142"/>
      <c r="J227" s="135"/>
      <c r="X227" s="135"/>
    </row>
    <row r="228" spans="5:24" s="39" customFormat="1">
      <c r="E228" s="142"/>
      <c r="F228" s="142"/>
      <c r="G228" s="142"/>
      <c r="H228" s="142"/>
      <c r="J228" s="135"/>
      <c r="X228" s="135"/>
    </row>
    <row r="229" spans="5:24" s="39" customFormat="1">
      <c r="E229" s="142"/>
      <c r="F229" s="142"/>
      <c r="G229" s="142"/>
      <c r="H229" s="142"/>
      <c r="J229" s="135"/>
      <c r="X229" s="135"/>
    </row>
    <row r="230" spans="5:24" s="39" customFormat="1">
      <c r="E230" s="142"/>
      <c r="F230" s="142"/>
      <c r="G230" s="142"/>
      <c r="H230" s="142"/>
      <c r="J230" s="135"/>
      <c r="X230" s="135"/>
    </row>
    <row r="231" spans="5:24" s="39" customFormat="1">
      <c r="E231" s="142"/>
      <c r="F231" s="142"/>
      <c r="G231" s="142"/>
      <c r="H231" s="142"/>
      <c r="J231" s="135"/>
      <c r="X231" s="135"/>
    </row>
    <row r="232" spans="5:24" s="39" customFormat="1">
      <c r="E232" s="142"/>
      <c r="F232" s="142"/>
      <c r="G232" s="142"/>
      <c r="H232" s="142"/>
      <c r="J232" s="135"/>
      <c r="X232" s="135"/>
    </row>
    <row r="233" spans="5:24" s="39" customFormat="1">
      <c r="E233" s="142"/>
      <c r="F233" s="142"/>
      <c r="G233" s="142"/>
      <c r="H233" s="142"/>
      <c r="J233" s="135"/>
      <c r="X233" s="135"/>
    </row>
    <row r="234" spans="5:24" s="39" customFormat="1">
      <c r="E234" s="142"/>
      <c r="F234" s="142"/>
      <c r="G234" s="142"/>
      <c r="H234" s="142"/>
      <c r="J234" s="135"/>
      <c r="X234" s="135"/>
    </row>
    <row r="235" spans="5:24" s="39" customFormat="1">
      <c r="E235" s="142"/>
      <c r="F235" s="142"/>
      <c r="G235" s="142"/>
      <c r="H235" s="142"/>
      <c r="J235" s="135"/>
      <c r="X235" s="135"/>
    </row>
    <row r="236" spans="5:24" s="39" customFormat="1">
      <c r="E236" s="142"/>
      <c r="F236" s="142"/>
      <c r="G236" s="142"/>
      <c r="H236" s="142"/>
      <c r="J236" s="135"/>
      <c r="X236" s="135"/>
    </row>
    <row r="237" spans="5:24" s="39" customFormat="1">
      <c r="E237" s="142"/>
      <c r="F237" s="142"/>
      <c r="G237" s="142"/>
      <c r="H237" s="142"/>
      <c r="J237" s="135"/>
      <c r="X237" s="135"/>
    </row>
    <row r="238" spans="5:24" s="39" customFormat="1">
      <c r="E238" s="142"/>
      <c r="F238" s="142"/>
      <c r="G238" s="142"/>
      <c r="H238" s="142"/>
      <c r="J238" s="135"/>
      <c r="X238" s="135"/>
    </row>
    <row r="239" spans="5:24" s="39" customFormat="1">
      <c r="E239" s="142"/>
      <c r="F239" s="142"/>
      <c r="G239" s="142"/>
      <c r="H239" s="142"/>
      <c r="J239" s="135"/>
      <c r="X239" s="135"/>
    </row>
    <row r="240" spans="5:24" s="39" customFormat="1">
      <c r="E240" s="142"/>
      <c r="F240" s="142"/>
      <c r="G240" s="142"/>
      <c r="H240" s="142"/>
      <c r="J240" s="135"/>
      <c r="X240" s="135"/>
    </row>
    <row r="241" spans="5:24" s="39" customFormat="1">
      <c r="E241" s="142"/>
      <c r="F241" s="142"/>
      <c r="G241" s="142"/>
      <c r="H241" s="142"/>
      <c r="J241" s="135"/>
      <c r="X241" s="135"/>
    </row>
    <row r="242" spans="5:24" s="39" customFormat="1">
      <c r="E242" s="142"/>
      <c r="F242" s="142"/>
      <c r="G242" s="142"/>
      <c r="H242" s="142"/>
      <c r="J242" s="135"/>
      <c r="X242" s="135"/>
    </row>
    <row r="243" spans="5:24" s="39" customFormat="1">
      <c r="E243" s="142"/>
      <c r="F243" s="142"/>
      <c r="G243" s="142"/>
      <c r="H243" s="142"/>
      <c r="J243" s="135"/>
      <c r="X243" s="135"/>
    </row>
    <row r="244" spans="5:24" s="39" customFormat="1">
      <c r="E244" s="142"/>
      <c r="F244" s="142"/>
      <c r="G244" s="142"/>
      <c r="H244" s="142"/>
      <c r="J244" s="135"/>
      <c r="X244" s="135"/>
    </row>
    <row r="245" spans="5:24" s="39" customFormat="1">
      <c r="E245" s="142"/>
      <c r="F245" s="142"/>
      <c r="G245" s="142"/>
      <c r="H245" s="142"/>
      <c r="J245" s="135"/>
      <c r="X245" s="135"/>
    </row>
    <row r="246" spans="5:24" s="39" customFormat="1">
      <c r="E246" s="142"/>
      <c r="F246" s="142"/>
      <c r="G246" s="142"/>
      <c r="H246" s="142"/>
      <c r="J246" s="135"/>
      <c r="X246" s="135"/>
    </row>
    <row r="247" spans="5:24" s="39" customFormat="1">
      <c r="E247" s="142"/>
      <c r="F247" s="142"/>
      <c r="G247" s="142"/>
      <c r="H247" s="142"/>
      <c r="J247" s="135"/>
      <c r="X247" s="135"/>
    </row>
    <row r="248" spans="5:24" s="39" customFormat="1">
      <c r="E248" s="142"/>
      <c r="F248" s="142"/>
      <c r="G248" s="142"/>
      <c r="H248" s="142"/>
      <c r="J248" s="135"/>
      <c r="X248" s="135"/>
    </row>
    <row r="249" spans="5:24" s="39" customFormat="1">
      <c r="E249" s="142"/>
      <c r="F249" s="142"/>
      <c r="G249" s="142"/>
      <c r="H249" s="142"/>
      <c r="J249" s="135"/>
      <c r="X249" s="135"/>
    </row>
    <row r="250" spans="5:24" s="39" customFormat="1">
      <c r="E250" s="142"/>
      <c r="F250" s="142"/>
      <c r="G250" s="142"/>
      <c r="H250" s="142"/>
      <c r="J250" s="135"/>
      <c r="X250" s="135"/>
    </row>
    <row r="251" spans="5:24" s="39" customFormat="1">
      <c r="E251" s="142"/>
      <c r="F251" s="142"/>
      <c r="G251" s="142"/>
      <c r="H251" s="142"/>
      <c r="J251" s="135"/>
      <c r="X251" s="135"/>
    </row>
    <row r="252" spans="5:24" s="39" customFormat="1">
      <c r="E252" s="142"/>
      <c r="F252" s="142"/>
      <c r="G252" s="142"/>
      <c r="H252" s="142"/>
      <c r="J252" s="135"/>
      <c r="X252" s="135"/>
    </row>
    <row r="253" spans="5:24" s="39" customFormat="1">
      <c r="E253" s="142"/>
      <c r="F253" s="142"/>
      <c r="G253" s="142"/>
      <c r="H253" s="142"/>
      <c r="J253" s="135"/>
      <c r="X253" s="135"/>
    </row>
    <row r="254" spans="5:24" s="39" customFormat="1">
      <c r="E254" s="142"/>
      <c r="F254" s="142"/>
      <c r="G254" s="142"/>
      <c r="H254" s="142"/>
      <c r="J254" s="135"/>
      <c r="X254" s="135"/>
    </row>
    <row r="255" spans="5:24" s="39" customFormat="1">
      <c r="E255" s="142"/>
      <c r="F255" s="142"/>
      <c r="G255" s="142"/>
      <c r="H255" s="142"/>
      <c r="J255" s="135"/>
      <c r="X255" s="135"/>
    </row>
    <row r="256" spans="5:24" s="39" customFormat="1">
      <c r="E256" s="142"/>
      <c r="F256" s="142"/>
      <c r="G256" s="142"/>
      <c r="H256" s="142"/>
      <c r="J256" s="135"/>
      <c r="X256" s="135"/>
    </row>
    <row r="257" spans="5:24" s="39" customFormat="1">
      <c r="E257" s="142"/>
      <c r="F257" s="142"/>
      <c r="G257" s="142"/>
      <c r="H257" s="142"/>
      <c r="J257" s="135"/>
      <c r="X257" s="135"/>
    </row>
    <row r="258" spans="5:24" s="39" customFormat="1">
      <c r="E258" s="142"/>
      <c r="F258" s="142"/>
      <c r="G258" s="142"/>
      <c r="H258" s="142"/>
      <c r="J258" s="135"/>
      <c r="X258" s="135"/>
    </row>
    <row r="259" spans="5:24" s="39" customFormat="1">
      <c r="E259" s="142"/>
      <c r="F259" s="142"/>
      <c r="G259" s="142"/>
      <c r="H259" s="142"/>
      <c r="J259" s="135"/>
      <c r="X259" s="135"/>
    </row>
    <row r="260" spans="5:24" s="39" customFormat="1">
      <c r="E260" s="142"/>
      <c r="F260" s="142"/>
      <c r="G260" s="142"/>
      <c r="H260" s="142"/>
      <c r="J260" s="135"/>
      <c r="X260" s="135"/>
    </row>
    <row r="261" spans="5:24" s="39" customFormat="1">
      <c r="E261" s="142"/>
      <c r="F261" s="142"/>
      <c r="G261" s="142"/>
      <c r="H261" s="142"/>
      <c r="J261" s="135"/>
      <c r="X261" s="135"/>
    </row>
    <row r="262" spans="5:24" s="39" customFormat="1">
      <c r="E262" s="142"/>
      <c r="F262" s="142"/>
      <c r="G262" s="142"/>
      <c r="H262" s="142"/>
      <c r="J262" s="135"/>
      <c r="X262" s="135"/>
    </row>
    <row r="263" spans="5:24" s="39" customFormat="1">
      <c r="E263" s="142"/>
      <c r="F263" s="142"/>
      <c r="G263" s="142"/>
      <c r="H263" s="142"/>
      <c r="J263" s="135"/>
      <c r="X263" s="135"/>
    </row>
    <row r="264" spans="5:24" s="39" customFormat="1">
      <c r="E264" s="142"/>
      <c r="F264" s="142"/>
      <c r="G264" s="142"/>
      <c r="H264" s="142"/>
      <c r="J264" s="135"/>
      <c r="X264" s="135"/>
    </row>
    <row r="265" spans="5:24" s="39" customFormat="1">
      <c r="E265" s="142"/>
      <c r="F265" s="142"/>
      <c r="G265" s="142"/>
      <c r="H265" s="142"/>
      <c r="J265" s="135"/>
      <c r="X265" s="135"/>
    </row>
    <row r="266" spans="5:24" s="39" customFormat="1">
      <c r="E266" s="142"/>
      <c r="F266" s="142"/>
      <c r="G266" s="142"/>
      <c r="H266" s="142"/>
      <c r="J266" s="135"/>
      <c r="X266" s="135"/>
    </row>
    <row r="267" spans="5:24" s="39" customFormat="1">
      <c r="E267" s="142"/>
      <c r="F267" s="142"/>
      <c r="G267" s="142"/>
      <c r="H267" s="142"/>
      <c r="J267" s="135"/>
      <c r="X267" s="135"/>
    </row>
    <row r="268" spans="5:24" s="39" customFormat="1">
      <c r="E268" s="142"/>
      <c r="F268" s="142"/>
      <c r="G268" s="142"/>
      <c r="H268" s="142"/>
      <c r="J268" s="135"/>
      <c r="X268" s="135"/>
    </row>
    <row r="269" spans="5:24" s="39" customFormat="1">
      <c r="E269" s="142"/>
      <c r="F269" s="142"/>
      <c r="G269" s="142"/>
      <c r="H269" s="142"/>
      <c r="J269" s="135"/>
      <c r="X269" s="135"/>
    </row>
    <row r="270" spans="5:24" s="39" customFormat="1">
      <c r="E270" s="142"/>
      <c r="F270" s="142"/>
      <c r="G270" s="142"/>
      <c r="H270" s="142"/>
      <c r="J270" s="135"/>
      <c r="X270" s="135"/>
    </row>
    <row r="271" spans="5:24" s="39" customFormat="1">
      <c r="E271" s="142"/>
      <c r="F271" s="142"/>
      <c r="G271" s="142"/>
      <c r="H271" s="142"/>
      <c r="J271" s="135"/>
      <c r="X271" s="135"/>
    </row>
    <row r="272" spans="5:24" s="39" customFormat="1">
      <c r="E272" s="142"/>
      <c r="F272" s="142"/>
      <c r="G272" s="142"/>
      <c r="H272" s="142"/>
      <c r="J272" s="135"/>
      <c r="X272" s="135"/>
    </row>
    <row r="273" spans="5:24" s="39" customFormat="1">
      <c r="E273" s="142"/>
      <c r="F273" s="142"/>
      <c r="G273" s="142"/>
      <c r="H273" s="142"/>
      <c r="J273" s="135"/>
      <c r="X273" s="135"/>
    </row>
    <row r="274" spans="5:24" s="39" customFormat="1">
      <c r="E274" s="142"/>
      <c r="F274" s="142"/>
      <c r="G274" s="142"/>
      <c r="H274" s="142"/>
      <c r="J274" s="135"/>
      <c r="X274" s="135"/>
    </row>
    <row r="275" spans="5:24" s="39" customFormat="1">
      <c r="E275" s="142"/>
      <c r="F275" s="142"/>
      <c r="G275" s="142"/>
      <c r="H275" s="142"/>
      <c r="J275" s="135"/>
      <c r="X275" s="135"/>
    </row>
    <row r="276" spans="5:24" s="39" customFormat="1">
      <c r="E276" s="142"/>
      <c r="F276" s="142"/>
      <c r="G276" s="142"/>
      <c r="H276" s="142"/>
      <c r="J276" s="135"/>
      <c r="X276" s="135"/>
    </row>
    <row r="277" spans="5:24" s="39" customFormat="1">
      <c r="E277" s="142"/>
      <c r="F277" s="142"/>
      <c r="G277" s="142"/>
      <c r="H277" s="142"/>
      <c r="J277" s="135"/>
      <c r="X277" s="135"/>
    </row>
    <row r="278" spans="5:24" s="39" customFormat="1">
      <c r="E278" s="142"/>
      <c r="F278" s="142"/>
      <c r="G278" s="142"/>
      <c r="H278" s="142"/>
      <c r="J278" s="135"/>
      <c r="X278" s="135"/>
    </row>
    <row r="279" spans="5:24" s="39" customFormat="1">
      <c r="E279" s="142"/>
      <c r="F279" s="142"/>
      <c r="G279" s="142"/>
      <c r="H279" s="142"/>
      <c r="J279" s="135"/>
      <c r="X279" s="135"/>
    </row>
    <row r="280" spans="5:24" s="39" customFormat="1">
      <c r="E280" s="142"/>
      <c r="F280" s="142"/>
      <c r="G280" s="142"/>
      <c r="H280" s="142"/>
      <c r="J280" s="135"/>
      <c r="X280" s="135"/>
    </row>
    <row r="281" spans="5:24" s="39" customFormat="1">
      <c r="E281" s="142"/>
      <c r="F281" s="142"/>
      <c r="G281" s="142"/>
      <c r="H281" s="142"/>
      <c r="J281" s="135"/>
      <c r="X281" s="135"/>
    </row>
    <row r="282" spans="5:24" s="39" customFormat="1">
      <c r="E282" s="142"/>
      <c r="F282" s="142"/>
      <c r="G282" s="142"/>
      <c r="H282" s="142"/>
      <c r="J282" s="135"/>
      <c r="X282" s="135"/>
    </row>
    <row r="283" spans="5:24" s="39" customFormat="1">
      <c r="E283" s="142"/>
      <c r="F283" s="142"/>
      <c r="G283" s="142"/>
      <c r="H283" s="142"/>
      <c r="J283" s="135"/>
      <c r="X283" s="135"/>
    </row>
    <row r="284" spans="5:24" s="39" customFormat="1">
      <c r="E284" s="142"/>
      <c r="F284" s="142"/>
      <c r="G284" s="142"/>
      <c r="H284" s="142"/>
      <c r="J284" s="135"/>
      <c r="X284" s="135"/>
    </row>
    <row r="285" spans="5:24" s="39" customFormat="1">
      <c r="E285" s="142"/>
      <c r="F285" s="142"/>
      <c r="G285" s="142"/>
      <c r="H285" s="142"/>
      <c r="J285" s="135"/>
      <c r="X285" s="135"/>
    </row>
    <row r="286" spans="5:24" s="39" customFormat="1">
      <c r="E286" s="142"/>
      <c r="F286" s="142"/>
      <c r="G286" s="142"/>
      <c r="H286" s="142"/>
      <c r="J286" s="135"/>
      <c r="X286" s="135"/>
    </row>
    <row r="287" spans="5:24" s="39" customFormat="1">
      <c r="E287" s="142"/>
      <c r="F287" s="142"/>
      <c r="G287" s="142"/>
      <c r="H287" s="142"/>
      <c r="J287" s="135"/>
      <c r="X287" s="135"/>
    </row>
    <row r="288" spans="5:24" s="39" customFormat="1">
      <c r="E288" s="142"/>
      <c r="F288" s="142"/>
      <c r="G288" s="142"/>
      <c r="H288" s="142"/>
      <c r="J288" s="135"/>
      <c r="X288" s="135"/>
    </row>
    <row r="289" spans="5:24" s="39" customFormat="1">
      <c r="E289" s="142"/>
      <c r="F289" s="142"/>
      <c r="G289" s="142"/>
      <c r="H289" s="142"/>
      <c r="J289" s="135"/>
      <c r="X289" s="135"/>
    </row>
    <row r="290" spans="5:24" s="39" customFormat="1">
      <c r="E290" s="142"/>
      <c r="F290" s="142"/>
      <c r="G290" s="142"/>
      <c r="H290" s="142"/>
      <c r="J290" s="135"/>
      <c r="X290" s="135"/>
    </row>
    <row r="291" spans="5:24" s="39" customFormat="1">
      <c r="E291" s="142"/>
      <c r="F291" s="142"/>
      <c r="G291" s="142"/>
      <c r="H291" s="142"/>
      <c r="J291" s="135"/>
      <c r="X291" s="135"/>
    </row>
    <row r="292" spans="5:24" s="39" customFormat="1">
      <c r="E292" s="142"/>
      <c r="F292" s="142"/>
      <c r="G292" s="142"/>
      <c r="H292" s="142"/>
      <c r="J292" s="135"/>
      <c r="X292" s="135"/>
    </row>
    <row r="293" spans="5:24" s="39" customFormat="1">
      <c r="E293" s="142"/>
      <c r="F293" s="142"/>
      <c r="G293" s="142"/>
      <c r="H293" s="142"/>
      <c r="J293" s="135"/>
      <c r="X293" s="135"/>
    </row>
    <row r="294" spans="5:24" s="39" customFormat="1">
      <c r="E294" s="142"/>
      <c r="F294" s="142"/>
      <c r="G294" s="142"/>
      <c r="H294" s="142"/>
      <c r="J294" s="135"/>
      <c r="X294" s="135"/>
    </row>
    <row r="295" spans="5:24" s="39" customFormat="1">
      <c r="E295" s="142"/>
      <c r="F295" s="142"/>
      <c r="G295" s="142"/>
      <c r="H295" s="142"/>
      <c r="J295" s="135"/>
      <c r="X295" s="135"/>
    </row>
    <row r="296" spans="5:24" s="39" customFormat="1">
      <c r="E296" s="142"/>
      <c r="F296" s="142"/>
      <c r="G296" s="142"/>
      <c r="H296" s="142"/>
      <c r="J296" s="135"/>
      <c r="X296" s="135"/>
    </row>
    <row r="297" spans="5:24" s="39" customFormat="1">
      <c r="E297" s="142"/>
      <c r="F297" s="142"/>
      <c r="G297" s="142"/>
      <c r="H297" s="142"/>
      <c r="J297" s="135"/>
      <c r="X297" s="135"/>
    </row>
    <row r="298" spans="5:24" s="39" customFormat="1">
      <c r="E298" s="142"/>
      <c r="F298" s="142"/>
      <c r="G298" s="142"/>
      <c r="H298" s="142"/>
      <c r="J298" s="135"/>
      <c r="X298" s="135"/>
    </row>
    <row r="299" spans="5:24" s="39" customFormat="1">
      <c r="E299" s="142"/>
      <c r="F299" s="142"/>
      <c r="G299" s="142"/>
      <c r="H299" s="142"/>
      <c r="J299" s="135"/>
      <c r="X299" s="135"/>
    </row>
    <row r="300" spans="5:24" s="39" customFormat="1">
      <c r="E300" s="142"/>
      <c r="F300" s="142"/>
      <c r="G300" s="142"/>
      <c r="H300" s="142"/>
      <c r="J300" s="135"/>
      <c r="X300" s="135"/>
    </row>
    <row r="301" spans="5:24" s="39" customFormat="1">
      <c r="E301" s="142"/>
      <c r="F301" s="142"/>
      <c r="G301" s="142"/>
      <c r="H301" s="142"/>
      <c r="J301" s="135"/>
      <c r="X301" s="135"/>
    </row>
    <row r="302" spans="5:24" s="39" customFormat="1">
      <c r="E302" s="142"/>
      <c r="F302" s="142"/>
      <c r="G302" s="142"/>
      <c r="H302" s="142"/>
      <c r="J302" s="135"/>
      <c r="X302" s="135"/>
    </row>
    <row r="303" spans="5:24" s="39" customFormat="1">
      <c r="E303" s="142"/>
      <c r="F303" s="142"/>
      <c r="G303" s="142"/>
      <c r="H303" s="142"/>
      <c r="J303" s="135"/>
      <c r="X303" s="135"/>
    </row>
    <row r="304" spans="5:24" s="39" customFormat="1">
      <c r="E304" s="142"/>
      <c r="F304" s="142"/>
      <c r="G304" s="142"/>
      <c r="H304" s="142"/>
      <c r="J304" s="135"/>
      <c r="X304" s="135"/>
    </row>
    <row r="305" spans="5:24" s="39" customFormat="1">
      <c r="E305" s="142"/>
      <c r="F305" s="142"/>
      <c r="G305" s="142"/>
      <c r="H305" s="142"/>
      <c r="J305" s="135"/>
      <c r="X305" s="135"/>
    </row>
    <row r="306" spans="5:24" s="39" customFormat="1">
      <c r="E306" s="142"/>
      <c r="F306" s="142"/>
      <c r="G306" s="142"/>
      <c r="H306" s="142"/>
      <c r="J306" s="135"/>
      <c r="X306" s="135"/>
    </row>
    <row r="307" spans="5:24" s="39" customFormat="1">
      <c r="E307" s="142"/>
      <c r="F307" s="142"/>
      <c r="G307" s="142"/>
      <c r="H307" s="142"/>
      <c r="J307" s="135"/>
      <c r="X307" s="135"/>
    </row>
    <row r="308" spans="5:24" s="39" customFormat="1">
      <c r="E308" s="142"/>
      <c r="F308" s="142"/>
      <c r="G308" s="142"/>
      <c r="H308" s="142"/>
      <c r="J308" s="135"/>
      <c r="X308" s="135"/>
    </row>
    <row r="309" spans="5:24" s="39" customFormat="1">
      <c r="E309" s="142"/>
      <c r="F309" s="142"/>
      <c r="G309" s="142"/>
      <c r="H309" s="142"/>
      <c r="J309" s="135"/>
      <c r="X309" s="135"/>
    </row>
    <row r="310" spans="5:24" s="39" customFormat="1">
      <c r="E310" s="142"/>
      <c r="F310" s="142"/>
      <c r="G310" s="142"/>
      <c r="H310" s="142"/>
      <c r="J310" s="135"/>
      <c r="X310" s="135"/>
    </row>
    <row r="311" spans="5:24" s="39" customFormat="1">
      <c r="E311" s="142"/>
      <c r="F311" s="142"/>
      <c r="G311" s="142"/>
      <c r="H311" s="142"/>
      <c r="J311" s="135"/>
      <c r="X311" s="135"/>
    </row>
    <row r="312" spans="5:24" s="39" customFormat="1">
      <c r="E312" s="142"/>
      <c r="F312" s="142"/>
      <c r="G312" s="142"/>
      <c r="H312" s="142"/>
      <c r="J312" s="135"/>
      <c r="X312" s="135"/>
    </row>
    <row r="313" spans="5:24" s="39" customFormat="1">
      <c r="E313" s="142"/>
      <c r="F313" s="142"/>
      <c r="G313" s="142"/>
      <c r="H313" s="142"/>
      <c r="J313" s="135"/>
      <c r="X313" s="135"/>
    </row>
    <row r="314" spans="5:24" s="39" customFormat="1">
      <c r="E314" s="142"/>
      <c r="F314" s="142"/>
      <c r="G314" s="142"/>
      <c r="H314" s="142"/>
      <c r="J314" s="135"/>
      <c r="X314" s="135"/>
    </row>
    <row r="315" spans="5:24" s="39" customFormat="1">
      <c r="E315" s="142"/>
      <c r="F315" s="142"/>
      <c r="G315" s="142"/>
      <c r="H315" s="142"/>
      <c r="J315" s="135"/>
      <c r="X315" s="135"/>
    </row>
    <row r="316" spans="5:24" s="39" customFormat="1">
      <c r="E316" s="142"/>
      <c r="F316" s="142"/>
      <c r="G316" s="142"/>
      <c r="H316" s="142"/>
      <c r="J316" s="135"/>
      <c r="X316" s="135"/>
    </row>
    <row r="317" spans="5:24" s="39" customFormat="1">
      <c r="E317" s="142"/>
      <c r="F317" s="142"/>
      <c r="G317" s="142"/>
      <c r="H317" s="142"/>
      <c r="J317" s="135"/>
      <c r="X317" s="135"/>
    </row>
    <row r="318" spans="5:24" s="39" customFormat="1">
      <c r="E318" s="142"/>
      <c r="F318" s="142"/>
      <c r="G318" s="142"/>
      <c r="H318" s="142"/>
      <c r="J318" s="135"/>
      <c r="X318" s="135"/>
    </row>
    <row r="319" spans="5:24" s="39" customFormat="1">
      <c r="E319" s="142"/>
      <c r="F319" s="142"/>
      <c r="G319" s="142"/>
      <c r="H319" s="142"/>
      <c r="J319" s="135"/>
      <c r="X319" s="135"/>
    </row>
    <row r="320" spans="5:24" s="39" customFormat="1">
      <c r="E320" s="142"/>
      <c r="F320" s="142"/>
      <c r="G320" s="142"/>
      <c r="H320" s="142"/>
      <c r="J320" s="135"/>
      <c r="X320" s="135"/>
    </row>
    <row r="321" spans="5:24" s="39" customFormat="1">
      <c r="E321" s="142"/>
      <c r="F321" s="142"/>
      <c r="G321" s="142"/>
      <c r="H321" s="142"/>
      <c r="J321" s="135"/>
      <c r="X321" s="135"/>
    </row>
    <row r="322" spans="5:24" s="39" customFormat="1">
      <c r="E322" s="142"/>
      <c r="F322" s="142"/>
      <c r="G322" s="142"/>
      <c r="H322" s="142"/>
      <c r="J322" s="135"/>
      <c r="X322" s="135"/>
    </row>
    <row r="323" spans="5:24" s="39" customFormat="1">
      <c r="E323" s="142"/>
      <c r="F323" s="142"/>
      <c r="G323" s="142"/>
      <c r="H323" s="142"/>
      <c r="J323" s="135"/>
      <c r="X323" s="135"/>
    </row>
    <row r="324" spans="5:24" s="39" customFormat="1">
      <c r="E324" s="142"/>
      <c r="F324" s="142"/>
      <c r="G324" s="142"/>
      <c r="H324" s="142"/>
      <c r="J324" s="135"/>
      <c r="X324" s="135"/>
    </row>
    <row r="325" spans="5:24" s="39" customFormat="1">
      <c r="E325" s="142"/>
      <c r="F325" s="142"/>
      <c r="G325" s="142"/>
      <c r="H325" s="142"/>
      <c r="J325" s="135"/>
      <c r="X325" s="135"/>
    </row>
    <row r="326" spans="5:24" s="39" customFormat="1">
      <c r="E326" s="142"/>
      <c r="F326" s="142"/>
      <c r="G326" s="142"/>
      <c r="H326" s="142"/>
      <c r="J326" s="135"/>
      <c r="X326" s="135"/>
    </row>
    <row r="327" spans="5:24" s="39" customFormat="1">
      <c r="E327" s="142"/>
      <c r="F327" s="142"/>
      <c r="G327" s="142"/>
      <c r="H327" s="142"/>
      <c r="J327" s="135"/>
      <c r="X327" s="135"/>
    </row>
    <row r="328" spans="5:24" s="39" customFormat="1">
      <c r="E328" s="142"/>
      <c r="F328" s="142"/>
      <c r="G328" s="142"/>
      <c r="H328" s="142"/>
      <c r="J328" s="135"/>
      <c r="X328" s="135"/>
    </row>
    <row r="329" spans="5:24" s="39" customFormat="1">
      <c r="E329" s="142"/>
      <c r="F329" s="142"/>
      <c r="G329" s="142"/>
      <c r="H329" s="142"/>
      <c r="J329" s="135"/>
      <c r="X329" s="135"/>
    </row>
    <row r="330" spans="5:24" s="39" customFormat="1">
      <c r="E330" s="142"/>
      <c r="F330" s="142"/>
      <c r="G330" s="142"/>
      <c r="H330" s="142"/>
      <c r="J330" s="135"/>
      <c r="X330" s="135"/>
    </row>
    <row r="331" spans="5:24" s="39" customFormat="1">
      <c r="E331" s="142"/>
      <c r="F331" s="142"/>
      <c r="G331" s="142"/>
      <c r="H331" s="142"/>
      <c r="J331" s="135"/>
      <c r="X331" s="135"/>
    </row>
    <row r="332" spans="5:24" s="39" customFormat="1">
      <c r="E332" s="142"/>
      <c r="F332" s="142"/>
      <c r="G332" s="142"/>
      <c r="H332" s="142"/>
      <c r="J332" s="135"/>
      <c r="X332" s="135"/>
    </row>
    <row r="333" spans="5:24" s="39" customFormat="1">
      <c r="E333" s="142"/>
      <c r="F333" s="142"/>
      <c r="G333" s="142"/>
      <c r="H333" s="142"/>
      <c r="J333" s="135"/>
      <c r="X333" s="135"/>
    </row>
    <row r="334" spans="5:24" s="39" customFormat="1">
      <c r="E334" s="142"/>
      <c r="F334" s="142"/>
      <c r="G334" s="142"/>
      <c r="H334" s="142"/>
      <c r="J334" s="135"/>
      <c r="X334" s="135"/>
    </row>
    <row r="335" spans="5:24" s="39" customFormat="1">
      <c r="E335" s="142"/>
      <c r="F335" s="142"/>
      <c r="G335" s="142"/>
      <c r="H335" s="142"/>
      <c r="J335" s="135"/>
      <c r="X335" s="135"/>
    </row>
    <row r="336" spans="5:24" s="39" customFormat="1">
      <c r="E336" s="142"/>
      <c r="F336" s="142"/>
      <c r="G336" s="142"/>
      <c r="H336" s="142"/>
      <c r="J336" s="135"/>
      <c r="X336" s="135"/>
    </row>
    <row r="337" spans="5:24" s="39" customFormat="1">
      <c r="E337" s="142"/>
      <c r="F337" s="142"/>
      <c r="G337" s="142"/>
      <c r="H337" s="142"/>
      <c r="J337" s="135"/>
      <c r="X337" s="135"/>
    </row>
    <row r="338" spans="5:24" s="39" customFormat="1">
      <c r="E338" s="142"/>
      <c r="F338" s="142"/>
      <c r="G338" s="142"/>
      <c r="H338" s="142"/>
      <c r="J338" s="135"/>
      <c r="X338" s="135"/>
    </row>
    <row r="339" spans="5:24" s="39" customFormat="1">
      <c r="E339" s="142"/>
      <c r="F339" s="142"/>
      <c r="G339" s="142"/>
      <c r="H339" s="142"/>
      <c r="J339" s="135"/>
      <c r="X339" s="135"/>
    </row>
    <row r="340" spans="5:24" s="39" customFormat="1">
      <c r="E340" s="142"/>
      <c r="F340" s="142"/>
      <c r="G340" s="142"/>
      <c r="H340" s="142"/>
      <c r="J340" s="135"/>
      <c r="X340" s="135"/>
    </row>
    <row r="341" spans="5:24" s="39" customFormat="1">
      <c r="E341" s="142"/>
      <c r="F341" s="142"/>
      <c r="G341" s="142"/>
      <c r="H341" s="142"/>
      <c r="J341" s="135"/>
      <c r="X341" s="135"/>
    </row>
    <row r="342" spans="5:24" s="39" customFormat="1">
      <c r="E342" s="142"/>
      <c r="F342" s="142"/>
      <c r="G342" s="142"/>
      <c r="H342" s="142"/>
      <c r="J342" s="135"/>
      <c r="X342" s="135"/>
    </row>
    <row r="343" spans="5:24" s="39" customFormat="1">
      <c r="E343" s="142"/>
      <c r="F343" s="142"/>
      <c r="G343" s="142"/>
      <c r="H343" s="142"/>
      <c r="J343" s="135"/>
      <c r="X343" s="135"/>
    </row>
    <row r="344" spans="5:24" s="39" customFormat="1">
      <c r="E344" s="142"/>
      <c r="F344" s="142"/>
      <c r="G344" s="142"/>
      <c r="H344" s="142"/>
      <c r="J344" s="135"/>
      <c r="X344" s="135"/>
    </row>
    <row r="345" spans="5:24" s="39" customFormat="1">
      <c r="E345" s="142"/>
      <c r="F345" s="142"/>
      <c r="G345" s="142"/>
      <c r="H345" s="142"/>
      <c r="J345" s="135"/>
      <c r="X345" s="135"/>
    </row>
    <row r="346" spans="5:24" s="39" customFormat="1">
      <c r="E346" s="142"/>
      <c r="F346" s="142"/>
      <c r="G346" s="142"/>
      <c r="H346" s="142"/>
      <c r="J346" s="135"/>
      <c r="X346" s="135"/>
    </row>
    <row r="347" spans="5:24" s="39" customFormat="1">
      <c r="E347" s="142"/>
      <c r="F347" s="142"/>
      <c r="G347" s="142"/>
      <c r="H347" s="142"/>
      <c r="J347" s="135"/>
      <c r="X347" s="135"/>
    </row>
    <row r="348" spans="5:24" s="39" customFormat="1">
      <c r="E348" s="142"/>
      <c r="F348" s="142"/>
      <c r="G348" s="142"/>
      <c r="H348" s="142"/>
      <c r="J348" s="135"/>
      <c r="X348" s="135"/>
    </row>
    <row r="349" spans="5:24" s="39" customFormat="1">
      <c r="E349" s="142"/>
      <c r="F349" s="142"/>
      <c r="G349" s="142"/>
      <c r="H349" s="142"/>
      <c r="J349" s="135"/>
      <c r="X349" s="135"/>
    </row>
    <row r="350" spans="5:24" s="39" customFormat="1">
      <c r="E350" s="142"/>
      <c r="F350" s="142"/>
      <c r="G350" s="142"/>
      <c r="H350" s="142"/>
      <c r="J350" s="135"/>
      <c r="X350" s="135"/>
    </row>
    <row r="351" spans="5:24" s="39" customFormat="1">
      <c r="E351" s="142"/>
      <c r="F351" s="142"/>
      <c r="G351" s="142"/>
      <c r="H351" s="142"/>
      <c r="J351" s="135"/>
      <c r="X351" s="135"/>
    </row>
    <row r="352" spans="5:24" s="39" customFormat="1">
      <c r="E352" s="142"/>
      <c r="F352" s="142"/>
      <c r="G352" s="142"/>
      <c r="H352" s="142"/>
      <c r="J352" s="135"/>
      <c r="X352" s="135"/>
    </row>
    <row r="353" spans="5:24" s="39" customFormat="1">
      <c r="E353" s="142"/>
      <c r="F353" s="142"/>
      <c r="G353" s="142"/>
      <c r="H353" s="142"/>
      <c r="J353" s="135"/>
      <c r="X353" s="135"/>
    </row>
    <row r="354" spans="5:24" s="39" customFormat="1">
      <c r="E354" s="142"/>
      <c r="F354" s="142"/>
      <c r="G354" s="142"/>
      <c r="H354" s="142"/>
      <c r="J354" s="135"/>
      <c r="X354" s="135"/>
    </row>
    <row r="355" spans="5:24" s="39" customFormat="1">
      <c r="E355" s="142"/>
      <c r="F355" s="142"/>
      <c r="G355" s="142"/>
      <c r="H355" s="142"/>
      <c r="J355" s="135"/>
      <c r="X355" s="135"/>
    </row>
    <row r="356" spans="5:24" s="39" customFormat="1">
      <c r="E356" s="142"/>
      <c r="F356" s="142"/>
      <c r="G356" s="142"/>
      <c r="H356" s="142"/>
      <c r="J356" s="135"/>
      <c r="X356" s="135"/>
    </row>
    <row r="357" spans="5:24" s="39" customFormat="1">
      <c r="E357" s="142"/>
      <c r="F357" s="142"/>
      <c r="G357" s="142"/>
      <c r="H357" s="142"/>
      <c r="J357" s="135"/>
      <c r="X357" s="135"/>
    </row>
    <row r="358" spans="5:24" s="39" customFormat="1">
      <c r="E358" s="142"/>
      <c r="F358" s="142"/>
      <c r="G358" s="142"/>
      <c r="H358" s="142"/>
      <c r="J358" s="135"/>
      <c r="X358" s="135"/>
    </row>
    <row r="359" spans="5:24" s="39" customFormat="1">
      <c r="E359" s="142"/>
      <c r="F359" s="142"/>
      <c r="G359" s="142"/>
      <c r="H359" s="142"/>
      <c r="J359" s="135"/>
      <c r="X359" s="135"/>
    </row>
    <row r="360" spans="5:24" s="39" customFormat="1">
      <c r="E360" s="142"/>
      <c r="F360" s="142"/>
      <c r="G360" s="142"/>
      <c r="H360" s="142"/>
      <c r="J360" s="135"/>
      <c r="X360" s="135"/>
    </row>
    <row r="361" spans="5:24" s="39" customFormat="1">
      <c r="E361" s="142"/>
      <c r="F361" s="142"/>
      <c r="G361" s="142"/>
      <c r="H361" s="142"/>
      <c r="J361" s="135"/>
      <c r="X361" s="135"/>
    </row>
    <row r="362" spans="5:24" s="39" customFormat="1">
      <c r="E362" s="142"/>
      <c r="F362" s="142"/>
      <c r="G362" s="142"/>
      <c r="H362" s="142"/>
      <c r="J362" s="135"/>
      <c r="X362" s="135"/>
    </row>
    <row r="363" spans="5:24" s="39" customFormat="1">
      <c r="E363" s="142"/>
      <c r="F363" s="142"/>
      <c r="G363" s="142"/>
      <c r="H363" s="142"/>
      <c r="J363" s="135"/>
      <c r="X363" s="135"/>
    </row>
    <row r="364" spans="5:24" s="39" customFormat="1">
      <c r="E364" s="142"/>
      <c r="F364" s="142"/>
      <c r="G364" s="142"/>
      <c r="H364" s="142"/>
      <c r="J364" s="135"/>
      <c r="X364" s="135"/>
    </row>
    <row r="365" spans="5:24" s="39" customFormat="1">
      <c r="E365" s="142"/>
      <c r="F365" s="142"/>
      <c r="G365" s="142"/>
      <c r="H365" s="142"/>
      <c r="J365" s="135"/>
      <c r="X365" s="135"/>
    </row>
    <row r="366" spans="5:24" s="39" customFormat="1">
      <c r="E366" s="142"/>
      <c r="F366" s="142"/>
      <c r="G366" s="142"/>
      <c r="H366" s="142"/>
      <c r="J366" s="135"/>
      <c r="X366" s="135"/>
    </row>
    <row r="367" spans="5:24" s="39" customFormat="1">
      <c r="E367" s="142"/>
      <c r="F367" s="142"/>
      <c r="G367" s="142"/>
      <c r="H367" s="142"/>
      <c r="J367" s="135"/>
      <c r="X367" s="135"/>
    </row>
    <row r="368" spans="5:24" s="39" customFormat="1">
      <c r="E368" s="142"/>
      <c r="F368" s="142"/>
      <c r="G368" s="142"/>
      <c r="H368" s="142"/>
      <c r="J368" s="135"/>
      <c r="X368" s="135"/>
    </row>
    <row r="369" spans="5:24" s="39" customFormat="1">
      <c r="E369" s="142"/>
      <c r="F369" s="142"/>
      <c r="G369" s="142"/>
      <c r="H369" s="142"/>
      <c r="J369" s="135"/>
      <c r="X369" s="135"/>
    </row>
    <row r="370" spans="5:24" s="39" customFormat="1">
      <c r="E370" s="142"/>
      <c r="F370" s="142"/>
      <c r="G370" s="142"/>
      <c r="H370" s="142"/>
      <c r="J370" s="135"/>
      <c r="X370" s="135"/>
    </row>
    <row r="371" spans="5:24" s="39" customFormat="1">
      <c r="E371" s="142"/>
      <c r="F371" s="142"/>
      <c r="G371" s="142"/>
      <c r="H371" s="142"/>
      <c r="J371" s="135"/>
      <c r="X371" s="135"/>
    </row>
    <row r="372" spans="5:24" s="39" customFormat="1">
      <c r="E372" s="142"/>
      <c r="F372" s="142"/>
      <c r="G372" s="142"/>
      <c r="H372" s="142"/>
      <c r="J372" s="135"/>
      <c r="X372" s="135"/>
    </row>
    <row r="373" spans="5:24" s="39" customFormat="1">
      <c r="E373" s="142"/>
      <c r="F373" s="142"/>
      <c r="G373" s="142"/>
      <c r="H373" s="142"/>
      <c r="J373" s="135"/>
      <c r="X373" s="135"/>
    </row>
    <row r="374" spans="5:24" s="39" customFormat="1">
      <c r="E374" s="142"/>
      <c r="F374" s="142"/>
      <c r="G374" s="142"/>
      <c r="H374" s="142"/>
      <c r="J374" s="135"/>
      <c r="X374" s="135"/>
    </row>
    <row r="375" spans="5:24" s="39" customFormat="1">
      <c r="E375" s="142"/>
      <c r="F375" s="142"/>
      <c r="G375" s="142"/>
      <c r="H375" s="142"/>
      <c r="J375" s="135"/>
      <c r="X375" s="135"/>
    </row>
    <row r="376" spans="5:24" s="39" customFormat="1">
      <c r="E376" s="142"/>
      <c r="F376" s="142"/>
      <c r="G376" s="142"/>
      <c r="H376" s="142"/>
      <c r="J376" s="135"/>
      <c r="X376" s="135"/>
    </row>
    <row r="377" spans="5:24" s="39" customFormat="1">
      <c r="E377" s="142"/>
      <c r="F377" s="142"/>
      <c r="G377" s="142"/>
      <c r="H377" s="142"/>
      <c r="J377" s="135"/>
      <c r="X377" s="135"/>
    </row>
    <row r="378" spans="5:24" s="39" customFormat="1">
      <c r="E378" s="142"/>
      <c r="F378" s="142"/>
      <c r="G378" s="142"/>
      <c r="H378" s="142"/>
      <c r="J378" s="135"/>
      <c r="X378" s="135"/>
    </row>
    <row r="379" spans="5:24" s="39" customFormat="1">
      <c r="E379" s="142"/>
      <c r="F379" s="142"/>
      <c r="G379" s="142"/>
      <c r="H379" s="142"/>
      <c r="J379" s="135"/>
      <c r="X379" s="135"/>
    </row>
    <row r="380" spans="5:24" s="39" customFormat="1">
      <c r="E380" s="142"/>
      <c r="F380" s="142"/>
      <c r="G380" s="142"/>
      <c r="H380" s="142"/>
      <c r="J380" s="135"/>
      <c r="X380" s="135"/>
    </row>
    <row r="381" spans="5:24" s="39" customFormat="1">
      <c r="E381" s="142"/>
      <c r="F381" s="142"/>
      <c r="G381" s="142"/>
      <c r="H381" s="142"/>
      <c r="J381" s="135"/>
      <c r="X381" s="135"/>
    </row>
    <row r="382" spans="5:24" s="39" customFormat="1">
      <c r="E382" s="142"/>
      <c r="F382" s="142"/>
      <c r="G382" s="142"/>
      <c r="H382" s="142"/>
      <c r="J382" s="135"/>
      <c r="X382" s="135"/>
    </row>
    <row r="383" spans="5:24" s="39" customFormat="1">
      <c r="E383" s="142"/>
      <c r="F383" s="142"/>
      <c r="G383" s="142"/>
      <c r="H383" s="142"/>
      <c r="J383" s="135"/>
      <c r="X383" s="135"/>
    </row>
    <row r="384" spans="5:24" s="39" customFormat="1">
      <c r="E384" s="142"/>
      <c r="F384" s="142"/>
      <c r="G384" s="142"/>
      <c r="H384" s="142"/>
      <c r="J384" s="135"/>
      <c r="X384" s="135"/>
    </row>
    <row r="385" spans="5:24" s="39" customFormat="1">
      <c r="E385" s="142"/>
      <c r="F385" s="142"/>
      <c r="G385" s="142"/>
      <c r="H385" s="142"/>
      <c r="J385" s="135"/>
      <c r="X385" s="135"/>
    </row>
    <row r="386" spans="5:24" s="39" customFormat="1">
      <c r="E386" s="142"/>
      <c r="F386" s="142"/>
      <c r="G386" s="142"/>
      <c r="H386" s="142"/>
      <c r="J386" s="135"/>
      <c r="X386" s="135"/>
    </row>
    <row r="387" spans="5:24" s="39" customFormat="1">
      <c r="E387" s="142"/>
      <c r="F387" s="142"/>
      <c r="G387" s="142"/>
      <c r="H387" s="142"/>
      <c r="J387" s="135"/>
      <c r="X387" s="135"/>
    </row>
    <row r="388" spans="5:24" s="39" customFormat="1">
      <c r="E388" s="142"/>
      <c r="F388" s="142"/>
      <c r="G388" s="142"/>
      <c r="H388" s="142"/>
      <c r="J388" s="135"/>
      <c r="X388" s="135"/>
    </row>
    <row r="389" spans="5:24" s="39" customFormat="1">
      <c r="E389" s="142"/>
      <c r="F389" s="142"/>
      <c r="G389" s="142"/>
      <c r="H389" s="142"/>
      <c r="J389" s="135"/>
      <c r="X389" s="135"/>
    </row>
    <row r="390" spans="5:24" s="39" customFormat="1">
      <c r="E390" s="142"/>
      <c r="F390" s="142"/>
      <c r="G390" s="142"/>
      <c r="H390" s="142"/>
      <c r="J390" s="135"/>
      <c r="X390" s="135"/>
    </row>
    <row r="391" spans="5:24" s="39" customFormat="1">
      <c r="E391" s="142"/>
      <c r="F391" s="142"/>
      <c r="G391" s="142"/>
      <c r="H391" s="142"/>
      <c r="J391" s="135"/>
      <c r="X391" s="135"/>
    </row>
    <row r="392" spans="5:24" s="39" customFormat="1">
      <c r="E392" s="142"/>
      <c r="F392" s="142"/>
      <c r="G392" s="142"/>
      <c r="H392" s="142"/>
      <c r="J392" s="135"/>
      <c r="X392" s="135"/>
    </row>
    <row r="393" spans="5:24" s="39" customFormat="1">
      <c r="E393" s="142"/>
      <c r="F393" s="142"/>
      <c r="G393" s="142"/>
      <c r="H393" s="142"/>
      <c r="J393" s="135"/>
      <c r="X393" s="135"/>
    </row>
    <row r="394" spans="5:24" s="39" customFormat="1">
      <c r="E394" s="142"/>
      <c r="F394" s="142"/>
      <c r="G394" s="142"/>
      <c r="H394" s="142"/>
      <c r="J394" s="135"/>
      <c r="X394" s="135"/>
    </row>
    <row r="395" spans="5:24" s="39" customFormat="1">
      <c r="E395" s="142"/>
      <c r="F395" s="142"/>
      <c r="G395" s="142"/>
      <c r="H395" s="142"/>
      <c r="J395" s="135"/>
      <c r="X395" s="135"/>
    </row>
    <row r="396" spans="5:24" s="39" customFormat="1">
      <c r="E396" s="142"/>
      <c r="F396" s="142"/>
      <c r="G396" s="142"/>
      <c r="H396" s="142"/>
      <c r="J396" s="135"/>
      <c r="X396" s="135"/>
    </row>
    <row r="397" spans="5:24" s="39" customFormat="1">
      <c r="E397" s="142"/>
      <c r="F397" s="142"/>
      <c r="G397" s="142"/>
      <c r="H397" s="142"/>
      <c r="J397" s="135"/>
      <c r="X397" s="135"/>
    </row>
    <row r="398" spans="5:24" s="39" customFormat="1">
      <c r="E398" s="142"/>
      <c r="F398" s="142"/>
      <c r="G398" s="142"/>
      <c r="H398" s="142"/>
      <c r="J398" s="135"/>
      <c r="X398" s="135"/>
    </row>
    <row r="399" spans="5:24" s="39" customFormat="1">
      <c r="E399" s="142"/>
      <c r="F399" s="142"/>
      <c r="G399" s="142"/>
      <c r="H399" s="142"/>
      <c r="J399" s="135"/>
      <c r="X399" s="135"/>
    </row>
    <row r="400" spans="5:24" s="39" customFormat="1">
      <c r="E400" s="142"/>
      <c r="F400" s="142"/>
      <c r="G400" s="142"/>
      <c r="H400" s="142"/>
      <c r="J400" s="135"/>
      <c r="X400" s="135"/>
    </row>
    <row r="401" spans="5:24" s="39" customFormat="1">
      <c r="E401" s="142"/>
      <c r="F401" s="142"/>
      <c r="G401" s="142"/>
      <c r="H401" s="142"/>
      <c r="J401" s="135"/>
      <c r="X401" s="135"/>
    </row>
    <row r="402" spans="5:24" s="39" customFormat="1">
      <c r="E402" s="142"/>
      <c r="F402" s="142"/>
      <c r="G402" s="142"/>
      <c r="H402" s="142"/>
      <c r="J402" s="135"/>
      <c r="X402" s="135"/>
    </row>
    <row r="403" spans="5:24" s="39" customFormat="1">
      <c r="E403" s="142"/>
      <c r="F403" s="142"/>
      <c r="G403" s="142"/>
      <c r="H403" s="142"/>
      <c r="J403" s="135"/>
      <c r="X403" s="135"/>
    </row>
    <row r="404" spans="5:24" s="39" customFormat="1">
      <c r="E404" s="142"/>
      <c r="F404" s="142"/>
      <c r="G404" s="142"/>
      <c r="H404" s="142"/>
      <c r="J404" s="135"/>
      <c r="X404" s="135"/>
    </row>
    <row r="405" spans="5:24" s="39" customFormat="1">
      <c r="E405" s="142"/>
      <c r="F405" s="142"/>
      <c r="G405" s="142"/>
      <c r="H405" s="142"/>
      <c r="J405" s="135"/>
      <c r="X405" s="135"/>
    </row>
    <row r="406" spans="5:24" s="39" customFormat="1">
      <c r="E406" s="142"/>
      <c r="F406" s="142"/>
      <c r="G406" s="142"/>
      <c r="H406" s="142"/>
      <c r="J406" s="135"/>
      <c r="X406" s="135"/>
    </row>
    <row r="407" spans="5:24" s="39" customFormat="1">
      <c r="E407" s="142"/>
      <c r="F407" s="142"/>
      <c r="G407" s="142"/>
      <c r="H407" s="142"/>
      <c r="J407" s="135"/>
      <c r="X407" s="135"/>
    </row>
    <row r="408" spans="5:24" s="39" customFormat="1">
      <c r="E408" s="142"/>
      <c r="F408" s="142"/>
      <c r="G408" s="142"/>
      <c r="H408" s="142"/>
      <c r="J408" s="135"/>
      <c r="X408" s="135"/>
    </row>
    <row r="409" spans="5:24" s="39" customFormat="1">
      <c r="E409" s="142"/>
      <c r="F409" s="142"/>
      <c r="G409" s="142"/>
      <c r="H409" s="142"/>
      <c r="J409" s="135"/>
      <c r="X409" s="135"/>
    </row>
    <row r="410" spans="5:24" s="39" customFormat="1">
      <c r="E410" s="142"/>
      <c r="F410" s="142"/>
      <c r="G410" s="142"/>
      <c r="H410" s="142"/>
      <c r="J410" s="135"/>
      <c r="X410" s="135"/>
    </row>
    <row r="411" spans="5:24" s="39" customFormat="1">
      <c r="E411" s="142"/>
      <c r="F411" s="142"/>
      <c r="G411" s="142"/>
      <c r="H411" s="142"/>
      <c r="J411" s="135"/>
      <c r="X411" s="135"/>
    </row>
    <row r="412" spans="5:24" s="39" customFormat="1">
      <c r="E412" s="142"/>
      <c r="F412" s="142"/>
      <c r="G412" s="142"/>
      <c r="H412" s="142"/>
      <c r="J412" s="135"/>
      <c r="X412" s="135"/>
    </row>
    <row r="413" spans="5:24" s="39" customFormat="1">
      <c r="E413" s="142"/>
      <c r="F413" s="142"/>
      <c r="G413" s="142"/>
      <c r="H413" s="142"/>
      <c r="J413" s="135"/>
      <c r="X413" s="135"/>
    </row>
    <row r="414" spans="5:24" s="39" customFormat="1">
      <c r="E414" s="142"/>
      <c r="F414" s="142"/>
      <c r="G414" s="142"/>
      <c r="H414" s="142"/>
      <c r="J414" s="135"/>
      <c r="X414" s="135"/>
    </row>
    <row r="415" spans="5:24" s="39" customFormat="1">
      <c r="E415" s="142"/>
      <c r="F415" s="142"/>
      <c r="G415" s="142"/>
      <c r="H415" s="142"/>
      <c r="J415" s="135"/>
      <c r="X415" s="135"/>
    </row>
    <row r="416" spans="5:24" s="39" customFormat="1">
      <c r="E416" s="142"/>
      <c r="F416" s="142"/>
      <c r="G416" s="142"/>
      <c r="H416" s="142"/>
      <c r="J416" s="135"/>
      <c r="X416" s="135"/>
    </row>
    <row r="417" spans="5:24" s="39" customFormat="1">
      <c r="E417" s="142"/>
      <c r="F417" s="142"/>
      <c r="G417" s="142"/>
      <c r="H417" s="142"/>
      <c r="J417" s="135"/>
      <c r="X417" s="135"/>
    </row>
    <row r="418" spans="5:24" s="39" customFormat="1">
      <c r="E418" s="142"/>
      <c r="F418" s="142"/>
      <c r="G418" s="142"/>
      <c r="H418" s="142"/>
      <c r="J418" s="135"/>
      <c r="X418" s="135"/>
    </row>
    <row r="419" spans="5:24" s="39" customFormat="1">
      <c r="E419" s="142"/>
      <c r="F419" s="142"/>
      <c r="G419" s="142"/>
      <c r="H419" s="142"/>
      <c r="J419" s="135"/>
      <c r="X419" s="135"/>
    </row>
    <row r="420" spans="5:24" s="39" customFormat="1">
      <c r="E420" s="142"/>
      <c r="F420" s="142"/>
      <c r="G420" s="142"/>
      <c r="H420" s="142"/>
      <c r="J420" s="135"/>
      <c r="X420" s="135"/>
    </row>
    <row r="421" spans="5:24" s="39" customFormat="1">
      <c r="E421" s="142"/>
      <c r="F421" s="142"/>
      <c r="G421" s="142"/>
      <c r="H421" s="142"/>
      <c r="J421" s="135"/>
      <c r="X421" s="135"/>
    </row>
    <row r="422" spans="5:24" s="39" customFormat="1">
      <c r="E422" s="142"/>
      <c r="F422" s="142"/>
      <c r="G422" s="142"/>
      <c r="H422" s="142"/>
      <c r="J422" s="135"/>
      <c r="X422" s="135"/>
    </row>
    <row r="423" spans="5:24" s="39" customFormat="1">
      <c r="E423" s="142"/>
      <c r="F423" s="142"/>
      <c r="G423" s="142"/>
      <c r="H423" s="142"/>
      <c r="J423" s="135"/>
      <c r="X423" s="135"/>
    </row>
    <row r="424" spans="5:24" s="39" customFormat="1">
      <c r="E424" s="142"/>
      <c r="F424" s="142"/>
      <c r="G424" s="142"/>
      <c r="H424" s="142"/>
      <c r="J424" s="135"/>
      <c r="X424" s="135"/>
    </row>
    <row r="425" spans="5:24" s="39" customFormat="1">
      <c r="E425" s="142"/>
      <c r="F425" s="142"/>
      <c r="G425" s="142"/>
      <c r="H425" s="142"/>
      <c r="J425" s="135"/>
      <c r="X425" s="135"/>
    </row>
    <row r="426" spans="5:24" s="39" customFormat="1">
      <c r="E426" s="142"/>
      <c r="F426" s="142"/>
      <c r="G426" s="142"/>
      <c r="H426" s="142"/>
      <c r="J426" s="135"/>
      <c r="X426" s="135"/>
    </row>
    <row r="427" spans="5:24" s="39" customFormat="1">
      <c r="E427" s="142"/>
      <c r="F427" s="142"/>
      <c r="G427" s="142"/>
      <c r="H427" s="142"/>
      <c r="J427" s="135"/>
      <c r="X427" s="135"/>
    </row>
    <row r="428" spans="5:24" s="39" customFormat="1">
      <c r="E428" s="142"/>
      <c r="F428" s="142"/>
      <c r="G428" s="142"/>
      <c r="H428" s="142"/>
      <c r="J428" s="135"/>
      <c r="X428" s="135"/>
    </row>
    <row r="429" spans="5:24" s="39" customFormat="1">
      <c r="E429" s="142"/>
      <c r="F429" s="142"/>
      <c r="G429" s="142"/>
      <c r="H429" s="142"/>
      <c r="J429" s="135"/>
      <c r="X429" s="135"/>
    </row>
    <row r="430" spans="5:24" s="39" customFormat="1">
      <c r="E430" s="142"/>
      <c r="F430" s="142"/>
      <c r="G430" s="142"/>
      <c r="H430" s="142"/>
      <c r="J430" s="135"/>
      <c r="X430" s="135"/>
    </row>
    <row r="431" spans="5:24" s="39" customFormat="1">
      <c r="E431" s="142"/>
      <c r="F431" s="142"/>
      <c r="G431" s="142"/>
      <c r="H431" s="142"/>
      <c r="J431" s="135"/>
      <c r="X431" s="135"/>
    </row>
    <row r="432" spans="5:24" s="39" customFormat="1">
      <c r="E432" s="142"/>
      <c r="F432" s="142"/>
      <c r="G432" s="142"/>
      <c r="H432" s="142"/>
      <c r="J432" s="135"/>
      <c r="X432" s="135"/>
    </row>
    <row r="433" spans="5:24" s="39" customFormat="1">
      <c r="E433" s="142"/>
      <c r="F433" s="142"/>
      <c r="G433" s="142"/>
      <c r="H433" s="142"/>
      <c r="J433" s="135"/>
      <c r="X433" s="135"/>
    </row>
    <row r="434" spans="5:24" s="39" customFormat="1">
      <c r="E434" s="142"/>
      <c r="F434" s="142"/>
      <c r="G434" s="142"/>
      <c r="H434" s="142"/>
      <c r="J434" s="135"/>
      <c r="X434" s="135"/>
    </row>
    <row r="435" spans="5:24" s="39" customFormat="1">
      <c r="E435" s="142"/>
      <c r="F435" s="142"/>
      <c r="G435" s="142"/>
      <c r="H435" s="142"/>
      <c r="J435" s="135"/>
      <c r="X435" s="135"/>
    </row>
    <row r="436" spans="5:24" s="39" customFormat="1">
      <c r="E436" s="142"/>
      <c r="F436" s="142"/>
      <c r="G436" s="142"/>
      <c r="H436" s="142"/>
      <c r="J436" s="135"/>
      <c r="X436" s="135"/>
    </row>
    <row r="437" spans="5:24" s="39" customFormat="1">
      <c r="E437" s="142"/>
      <c r="F437" s="142"/>
      <c r="G437" s="142"/>
      <c r="H437" s="142"/>
      <c r="J437" s="135"/>
      <c r="X437" s="135"/>
    </row>
    <row r="438" spans="5:24" s="39" customFormat="1">
      <c r="E438" s="142"/>
      <c r="F438" s="142"/>
      <c r="G438" s="142"/>
      <c r="H438" s="142"/>
      <c r="J438" s="135"/>
      <c r="X438" s="135"/>
    </row>
    <row r="439" spans="5:24" s="39" customFormat="1">
      <c r="E439" s="142"/>
      <c r="F439" s="142"/>
      <c r="G439" s="142"/>
      <c r="H439" s="142"/>
      <c r="J439" s="135"/>
      <c r="X439" s="135"/>
    </row>
    <row r="440" spans="5:24" s="39" customFormat="1">
      <c r="E440" s="142"/>
      <c r="F440" s="142"/>
      <c r="G440" s="142"/>
      <c r="H440" s="142"/>
      <c r="J440" s="135"/>
      <c r="X440" s="135"/>
    </row>
    <row r="441" spans="5:24" s="39" customFormat="1">
      <c r="E441" s="142"/>
      <c r="F441" s="142"/>
      <c r="G441" s="142"/>
      <c r="H441" s="142"/>
      <c r="J441" s="135"/>
      <c r="X441" s="135"/>
    </row>
    <row r="442" spans="5:24" s="39" customFormat="1">
      <c r="E442" s="142"/>
      <c r="F442" s="142"/>
      <c r="G442" s="142"/>
      <c r="H442" s="142"/>
      <c r="J442" s="135"/>
      <c r="X442" s="135"/>
    </row>
    <row r="443" spans="5:24" s="39" customFormat="1">
      <c r="E443" s="142"/>
      <c r="F443" s="142"/>
      <c r="G443" s="142"/>
      <c r="H443" s="142"/>
      <c r="J443" s="135"/>
      <c r="X443" s="135"/>
    </row>
    <row r="444" spans="5:24" s="39" customFormat="1">
      <c r="E444" s="142"/>
      <c r="F444" s="142"/>
      <c r="G444" s="142"/>
      <c r="H444" s="142"/>
      <c r="J444" s="135"/>
      <c r="X444" s="135"/>
    </row>
    <row r="445" spans="5:24" s="39" customFormat="1">
      <c r="E445" s="142"/>
      <c r="F445" s="142"/>
      <c r="G445" s="142"/>
      <c r="H445" s="142"/>
      <c r="J445" s="135"/>
      <c r="X445" s="135"/>
    </row>
    <row r="446" spans="5:24" s="39" customFormat="1">
      <c r="E446" s="142"/>
      <c r="F446" s="142"/>
      <c r="G446" s="142"/>
      <c r="H446" s="142"/>
      <c r="J446" s="135"/>
      <c r="X446" s="135"/>
    </row>
    <row r="447" spans="5:24" s="39" customFormat="1">
      <c r="E447" s="142"/>
      <c r="F447" s="142"/>
      <c r="G447" s="142"/>
      <c r="H447" s="142"/>
      <c r="J447" s="135"/>
      <c r="X447" s="135"/>
    </row>
    <row r="448" spans="5:24" s="39" customFormat="1">
      <c r="E448" s="142"/>
      <c r="F448" s="142"/>
      <c r="G448" s="142"/>
      <c r="H448" s="142"/>
      <c r="J448" s="135"/>
      <c r="X448" s="135"/>
    </row>
    <row r="449" spans="5:24" s="39" customFormat="1">
      <c r="E449" s="142"/>
      <c r="F449" s="142"/>
      <c r="G449" s="142"/>
      <c r="H449" s="142"/>
      <c r="J449" s="135"/>
      <c r="X449" s="135"/>
    </row>
    <row r="450" spans="5:24" s="39" customFormat="1">
      <c r="E450" s="142"/>
      <c r="F450" s="142"/>
      <c r="G450" s="142"/>
      <c r="H450" s="142"/>
      <c r="J450" s="135"/>
      <c r="X450" s="135"/>
    </row>
    <row r="451" spans="5:24" s="39" customFormat="1">
      <c r="E451" s="142"/>
      <c r="F451" s="142"/>
      <c r="G451" s="142"/>
      <c r="H451" s="142"/>
      <c r="J451" s="135"/>
      <c r="X451" s="135"/>
    </row>
    <row r="452" spans="5:24" s="39" customFormat="1">
      <c r="E452" s="142"/>
      <c r="F452" s="142"/>
      <c r="G452" s="142"/>
      <c r="H452" s="142"/>
      <c r="J452" s="135"/>
      <c r="X452" s="135"/>
    </row>
    <row r="453" spans="5:24" s="39" customFormat="1">
      <c r="E453" s="142"/>
      <c r="F453" s="142"/>
      <c r="G453" s="142"/>
      <c r="H453" s="142"/>
      <c r="J453" s="135"/>
      <c r="X453" s="135"/>
    </row>
    <row r="454" spans="5:24" s="39" customFormat="1">
      <c r="E454" s="142"/>
      <c r="F454" s="142"/>
      <c r="G454" s="142"/>
      <c r="H454" s="142"/>
      <c r="J454" s="135"/>
      <c r="X454" s="135"/>
    </row>
    <row r="455" spans="5:24" s="39" customFormat="1">
      <c r="E455" s="142"/>
      <c r="F455" s="142"/>
      <c r="G455" s="142"/>
      <c r="H455" s="142"/>
      <c r="J455" s="135"/>
      <c r="X455" s="135"/>
    </row>
    <row r="456" spans="5:24" s="39" customFormat="1">
      <c r="E456" s="142"/>
      <c r="F456" s="142"/>
      <c r="G456" s="142"/>
      <c r="H456" s="142"/>
      <c r="J456" s="135"/>
      <c r="X456" s="135"/>
    </row>
    <row r="457" spans="5:24" s="39" customFormat="1">
      <c r="E457" s="142"/>
      <c r="F457" s="142"/>
      <c r="G457" s="142"/>
      <c r="H457" s="142"/>
      <c r="J457" s="135"/>
      <c r="X457" s="135"/>
    </row>
    <row r="458" spans="5:24" s="39" customFormat="1">
      <c r="E458" s="142"/>
      <c r="F458" s="142"/>
      <c r="G458" s="142"/>
      <c r="H458" s="142"/>
      <c r="J458" s="135"/>
      <c r="X458" s="135"/>
    </row>
    <row r="459" spans="5:24" s="39" customFormat="1">
      <c r="E459" s="142"/>
      <c r="F459" s="142"/>
      <c r="G459" s="142"/>
      <c r="H459" s="142"/>
      <c r="J459" s="135"/>
      <c r="X459" s="135"/>
    </row>
    <row r="460" spans="5:24" s="39" customFormat="1">
      <c r="E460" s="142"/>
      <c r="F460" s="142"/>
      <c r="G460" s="142"/>
      <c r="H460" s="142"/>
      <c r="J460" s="135"/>
      <c r="X460" s="135"/>
    </row>
    <row r="461" spans="5:24" s="39" customFormat="1">
      <c r="E461" s="142"/>
      <c r="F461" s="142"/>
      <c r="G461" s="142"/>
      <c r="H461" s="142"/>
      <c r="J461" s="135"/>
      <c r="X461" s="135"/>
    </row>
    <row r="462" spans="5:24" s="39" customFormat="1">
      <c r="E462" s="142"/>
      <c r="F462" s="142"/>
      <c r="G462" s="142"/>
      <c r="H462" s="142"/>
      <c r="J462" s="135"/>
      <c r="X462" s="135"/>
    </row>
    <row r="463" spans="5:24" s="39" customFormat="1">
      <c r="E463" s="142"/>
      <c r="F463" s="142"/>
      <c r="G463" s="142"/>
      <c r="H463" s="142"/>
      <c r="J463" s="135"/>
      <c r="X463" s="135"/>
    </row>
    <row r="464" spans="5:24" s="39" customFormat="1">
      <c r="E464" s="142"/>
      <c r="F464" s="142"/>
      <c r="G464" s="142"/>
      <c r="H464" s="142"/>
      <c r="J464" s="135"/>
      <c r="X464" s="135"/>
    </row>
    <row r="465" spans="5:24" s="39" customFormat="1">
      <c r="E465" s="142"/>
      <c r="F465" s="142"/>
      <c r="G465" s="142"/>
      <c r="H465" s="142"/>
      <c r="J465" s="135"/>
      <c r="X465" s="135"/>
    </row>
    <row r="466" spans="5:24" s="39" customFormat="1">
      <c r="E466" s="142"/>
      <c r="F466" s="142"/>
      <c r="G466" s="142"/>
      <c r="H466" s="142"/>
      <c r="J466" s="135"/>
      <c r="X466" s="135"/>
    </row>
    <row r="467" spans="5:24" s="39" customFormat="1">
      <c r="E467" s="142"/>
      <c r="F467" s="142"/>
      <c r="G467" s="142"/>
      <c r="H467" s="142"/>
      <c r="J467" s="135"/>
      <c r="X467" s="135"/>
    </row>
    <row r="468" spans="5:24" s="39" customFormat="1">
      <c r="E468" s="142"/>
      <c r="F468" s="142"/>
      <c r="G468" s="142"/>
      <c r="H468" s="142"/>
      <c r="J468" s="135"/>
      <c r="X468" s="135"/>
    </row>
    <row r="469" spans="5:24" s="39" customFormat="1">
      <c r="E469" s="142"/>
      <c r="F469" s="142"/>
      <c r="G469" s="142"/>
      <c r="H469" s="142"/>
      <c r="J469" s="135"/>
      <c r="X469" s="135"/>
    </row>
    <row r="470" spans="5:24" s="39" customFormat="1">
      <c r="E470" s="142"/>
      <c r="F470" s="142"/>
      <c r="G470" s="142"/>
      <c r="H470" s="142"/>
      <c r="J470" s="135"/>
      <c r="X470" s="135"/>
    </row>
    <row r="471" spans="5:24" s="39" customFormat="1">
      <c r="E471" s="142"/>
      <c r="F471" s="142"/>
      <c r="G471" s="142"/>
      <c r="H471" s="142"/>
      <c r="J471" s="135"/>
      <c r="X471" s="135"/>
    </row>
    <row r="472" spans="5:24" s="39" customFormat="1">
      <c r="E472" s="142"/>
      <c r="F472" s="142"/>
      <c r="G472" s="142"/>
      <c r="H472" s="142"/>
      <c r="J472" s="135"/>
      <c r="X472" s="135"/>
    </row>
    <row r="473" spans="5:24" s="39" customFormat="1">
      <c r="E473" s="142"/>
      <c r="F473" s="142"/>
      <c r="G473" s="142"/>
      <c r="H473" s="142"/>
      <c r="J473" s="135"/>
      <c r="X473" s="135"/>
    </row>
    <row r="474" spans="5:24" s="39" customFormat="1">
      <c r="E474" s="142"/>
      <c r="F474" s="142"/>
      <c r="G474" s="142"/>
      <c r="H474" s="142"/>
      <c r="J474" s="135"/>
      <c r="X474" s="135"/>
    </row>
    <row r="475" spans="5:24" s="39" customFormat="1">
      <c r="E475" s="142"/>
      <c r="F475" s="142"/>
      <c r="G475" s="142"/>
      <c r="H475" s="142"/>
      <c r="J475" s="135"/>
      <c r="X475" s="135"/>
    </row>
    <row r="476" spans="5:24" s="39" customFormat="1">
      <c r="E476" s="142"/>
      <c r="F476" s="142"/>
      <c r="G476" s="142"/>
      <c r="H476" s="142"/>
      <c r="J476" s="135"/>
      <c r="X476" s="135"/>
    </row>
    <row r="477" spans="5:24" s="39" customFormat="1">
      <c r="E477" s="142"/>
      <c r="F477" s="142"/>
      <c r="G477" s="142"/>
      <c r="H477" s="142"/>
      <c r="J477" s="135"/>
      <c r="X477" s="135"/>
    </row>
    <row r="478" spans="5:24" s="39" customFormat="1">
      <c r="E478" s="142"/>
      <c r="F478" s="142"/>
      <c r="G478" s="142"/>
      <c r="H478" s="142"/>
      <c r="J478" s="135"/>
      <c r="X478" s="135"/>
    </row>
    <row r="479" spans="5:24" s="39" customFormat="1">
      <c r="E479" s="142"/>
      <c r="F479" s="142"/>
      <c r="G479" s="142"/>
      <c r="H479" s="142"/>
      <c r="J479" s="135"/>
      <c r="X479" s="135"/>
    </row>
    <row r="480" spans="5:24" s="39" customFormat="1">
      <c r="E480" s="142"/>
      <c r="F480" s="142"/>
      <c r="G480" s="142"/>
      <c r="H480" s="142"/>
      <c r="J480" s="135"/>
      <c r="X480" s="135"/>
    </row>
    <row r="481" spans="5:24" s="39" customFormat="1">
      <c r="E481" s="142"/>
      <c r="F481" s="142"/>
      <c r="G481" s="142"/>
      <c r="H481" s="142"/>
      <c r="J481" s="135"/>
      <c r="X481" s="135"/>
    </row>
    <row r="482" spans="5:24" s="39" customFormat="1">
      <c r="E482" s="142"/>
      <c r="F482" s="142"/>
      <c r="G482" s="142"/>
      <c r="H482" s="142"/>
      <c r="J482" s="135"/>
      <c r="X482" s="135"/>
    </row>
    <row r="483" spans="5:24" s="39" customFormat="1">
      <c r="E483" s="142"/>
      <c r="F483" s="142"/>
      <c r="G483" s="142"/>
      <c r="H483" s="142"/>
      <c r="J483" s="135"/>
      <c r="X483" s="135"/>
    </row>
    <row r="484" spans="5:24" s="39" customFormat="1">
      <c r="E484" s="142"/>
      <c r="F484" s="142"/>
      <c r="G484" s="142"/>
      <c r="H484" s="142"/>
      <c r="J484" s="135"/>
      <c r="X484" s="135"/>
    </row>
    <row r="485" spans="5:24" s="39" customFormat="1">
      <c r="E485" s="142"/>
      <c r="F485" s="142"/>
      <c r="G485" s="142"/>
      <c r="H485" s="142"/>
      <c r="J485" s="135"/>
      <c r="X485" s="135"/>
    </row>
    <row r="486" spans="5:24" s="39" customFormat="1">
      <c r="E486" s="142"/>
      <c r="F486" s="142"/>
      <c r="G486" s="142"/>
      <c r="H486" s="142"/>
      <c r="J486" s="135"/>
      <c r="X486" s="135"/>
    </row>
    <row r="487" spans="5:24" s="39" customFormat="1">
      <c r="E487" s="142"/>
      <c r="F487" s="142"/>
      <c r="G487" s="142"/>
      <c r="H487" s="142"/>
      <c r="J487" s="135"/>
      <c r="X487" s="135"/>
    </row>
    <row r="488" spans="5:24" s="39" customFormat="1">
      <c r="E488" s="142"/>
      <c r="F488" s="142"/>
      <c r="G488" s="142"/>
      <c r="H488" s="142"/>
      <c r="J488" s="135"/>
      <c r="X488" s="135"/>
    </row>
    <row r="489" spans="5:24" s="39" customFormat="1">
      <c r="E489" s="142"/>
      <c r="F489" s="142"/>
      <c r="G489" s="142"/>
      <c r="H489" s="142"/>
      <c r="J489" s="135"/>
      <c r="X489" s="135"/>
    </row>
    <row r="490" spans="5:24" s="39" customFormat="1">
      <c r="E490" s="142"/>
      <c r="F490" s="142"/>
      <c r="G490" s="142"/>
      <c r="H490" s="142"/>
      <c r="J490" s="135"/>
      <c r="X490" s="135"/>
    </row>
    <row r="491" spans="5:24" s="39" customFormat="1">
      <c r="E491" s="142"/>
      <c r="F491" s="142"/>
      <c r="G491" s="142"/>
      <c r="H491" s="142"/>
      <c r="J491" s="135"/>
      <c r="X491" s="135"/>
    </row>
    <row r="492" spans="5:24" s="39" customFormat="1">
      <c r="E492" s="142"/>
      <c r="F492" s="142"/>
      <c r="G492" s="142"/>
      <c r="H492" s="142"/>
      <c r="J492" s="135"/>
      <c r="X492" s="135"/>
    </row>
    <row r="493" spans="5:24" s="39" customFormat="1">
      <c r="E493" s="142"/>
      <c r="F493" s="142"/>
      <c r="G493" s="142"/>
      <c r="H493" s="142"/>
      <c r="J493" s="135"/>
      <c r="X493" s="135"/>
    </row>
    <row r="494" spans="5:24" s="39" customFormat="1">
      <c r="E494" s="142"/>
      <c r="F494" s="142"/>
      <c r="G494" s="142"/>
      <c r="H494" s="142"/>
      <c r="J494" s="135"/>
      <c r="X494" s="135"/>
    </row>
    <row r="495" spans="5:24" s="39" customFormat="1">
      <c r="E495" s="142"/>
      <c r="F495" s="142"/>
      <c r="G495" s="142"/>
      <c r="H495" s="142"/>
      <c r="J495" s="135"/>
      <c r="X495" s="135"/>
    </row>
    <row r="496" spans="5:24" s="39" customFormat="1">
      <c r="E496" s="142"/>
      <c r="F496" s="142"/>
      <c r="G496" s="142"/>
      <c r="H496" s="142"/>
      <c r="J496" s="135"/>
      <c r="X496" s="135"/>
    </row>
    <row r="497" spans="5:24" s="39" customFormat="1">
      <c r="E497" s="142"/>
      <c r="F497" s="142"/>
      <c r="G497" s="142"/>
      <c r="H497" s="142"/>
      <c r="J497" s="135"/>
      <c r="X497" s="135"/>
    </row>
    <row r="498" spans="5:24" s="39" customFormat="1">
      <c r="E498" s="142"/>
      <c r="F498" s="142"/>
      <c r="G498" s="142"/>
      <c r="H498" s="142"/>
      <c r="J498" s="135"/>
      <c r="X498" s="135"/>
    </row>
    <row r="499" spans="5:24" s="39" customFormat="1">
      <c r="E499" s="142"/>
      <c r="F499" s="142"/>
      <c r="G499" s="142"/>
      <c r="H499" s="142"/>
      <c r="J499" s="135"/>
      <c r="X499" s="135"/>
    </row>
    <row r="500" spans="5:24" s="39" customFormat="1">
      <c r="E500" s="142"/>
      <c r="F500" s="142"/>
      <c r="G500" s="142"/>
      <c r="H500" s="142"/>
      <c r="J500" s="135"/>
      <c r="X500" s="135"/>
    </row>
    <row r="501" spans="5:24" s="39" customFormat="1">
      <c r="E501" s="142"/>
      <c r="F501" s="142"/>
      <c r="G501" s="142"/>
      <c r="H501" s="142"/>
      <c r="J501" s="135"/>
      <c r="X501" s="135"/>
    </row>
    <row r="502" spans="5:24" s="39" customFormat="1">
      <c r="E502" s="142"/>
      <c r="F502" s="142"/>
      <c r="G502" s="142"/>
      <c r="H502" s="142"/>
      <c r="J502" s="135"/>
      <c r="X502" s="135"/>
    </row>
    <row r="503" spans="5:24" s="39" customFormat="1">
      <c r="E503" s="142"/>
      <c r="F503" s="142"/>
      <c r="G503" s="142"/>
      <c r="H503" s="142"/>
      <c r="J503" s="135"/>
      <c r="X503" s="135"/>
    </row>
    <row r="504" spans="5:24" s="39" customFormat="1">
      <c r="E504" s="142"/>
      <c r="F504" s="142"/>
      <c r="G504" s="142"/>
      <c r="H504" s="142"/>
      <c r="J504" s="135"/>
      <c r="X504" s="135"/>
    </row>
    <row r="505" spans="5:24" s="39" customFormat="1">
      <c r="E505" s="142"/>
      <c r="F505" s="142"/>
      <c r="G505" s="142"/>
      <c r="H505" s="142"/>
      <c r="J505" s="135"/>
      <c r="X505" s="135"/>
    </row>
    <row r="506" spans="5:24" s="39" customFormat="1">
      <c r="E506" s="142"/>
      <c r="F506" s="142"/>
      <c r="G506" s="142"/>
      <c r="H506" s="142"/>
      <c r="J506" s="135"/>
      <c r="X506" s="135"/>
    </row>
    <row r="507" spans="5:24" s="39" customFormat="1">
      <c r="E507" s="142"/>
      <c r="F507" s="142"/>
      <c r="G507" s="142"/>
      <c r="H507" s="142"/>
      <c r="J507" s="135"/>
      <c r="X507" s="135"/>
    </row>
    <row r="508" spans="5:24" s="39" customFormat="1">
      <c r="E508" s="142"/>
      <c r="F508" s="142"/>
      <c r="G508" s="142"/>
      <c r="H508" s="142"/>
      <c r="J508" s="135"/>
      <c r="X508" s="135"/>
    </row>
    <row r="509" spans="5:24" s="39" customFormat="1">
      <c r="E509" s="142"/>
      <c r="F509" s="142"/>
      <c r="G509" s="142"/>
      <c r="H509" s="142"/>
      <c r="J509" s="135"/>
      <c r="X509" s="135"/>
    </row>
    <row r="510" spans="5:24" s="39" customFormat="1">
      <c r="E510" s="142"/>
      <c r="F510" s="142"/>
      <c r="G510" s="142"/>
      <c r="H510" s="142"/>
      <c r="J510" s="135"/>
      <c r="X510" s="135"/>
    </row>
    <row r="511" spans="5:24" s="39" customFormat="1">
      <c r="E511" s="142"/>
      <c r="F511" s="142"/>
      <c r="G511" s="142"/>
      <c r="H511" s="142"/>
      <c r="J511" s="135"/>
      <c r="X511" s="135"/>
    </row>
    <row r="512" spans="5:24" s="39" customFormat="1">
      <c r="E512" s="142"/>
      <c r="F512" s="142"/>
      <c r="G512" s="142"/>
      <c r="H512" s="142"/>
      <c r="J512" s="135"/>
      <c r="X512" s="135"/>
    </row>
    <row r="513" spans="5:24" s="39" customFormat="1">
      <c r="E513" s="142"/>
      <c r="F513" s="142"/>
      <c r="G513" s="142"/>
      <c r="H513" s="142"/>
      <c r="J513" s="135"/>
      <c r="X513" s="135"/>
    </row>
    <row r="514" spans="5:24" s="39" customFormat="1">
      <c r="E514" s="142"/>
      <c r="F514" s="142"/>
      <c r="G514" s="142"/>
      <c r="H514" s="142"/>
      <c r="J514" s="135"/>
      <c r="X514" s="135"/>
    </row>
    <row r="515" spans="5:24" s="39" customFormat="1">
      <c r="E515" s="142"/>
      <c r="F515" s="142"/>
      <c r="G515" s="142"/>
      <c r="H515" s="142"/>
      <c r="J515" s="135"/>
      <c r="X515" s="135"/>
    </row>
    <row r="516" spans="5:24" s="39" customFormat="1">
      <c r="E516" s="142"/>
      <c r="F516" s="142"/>
      <c r="G516" s="142"/>
      <c r="H516" s="142"/>
      <c r="J516" s="135"/>
      <c r="X516" s="135"/>
    </row>
    <row r="517" spans="5:24" s="39" customFormat="1">
      <c r="E517" s="142"/>
      <c r="F517" s="142"/>
      <c r="G517" s="142"/>
      <c r="H517" s="142"/>
      <c r="J517" s="135"/>
      <c r="X517" s="135"/>
    </row>
    <row r="518" spans="5:24" s="39" customFormat="1">
      <c r="E518" s="142"/>
      <c r="F518" s="142"/>
      <c r="G518" s="142"/>
      <c r="H518" s="142"/>
      <c r="J518" s="135"/>
      <c r="X518" s="135"/>
    </row>
    <row r="519" spans="5:24" s="39" customFormat="1">
      <c r="E519" s="142"/>
      <c r="F519" s="142"/>
      <c r="G519" s="142"/>
      <c r="H519" s="142"/>
      <c r="J519" s="135"/>
      <c r="X519" s="135"/>
    </row>
    <row r="520" spans="5:24" s="39" customFormat="1">
      <c r="E520" s="142"/>
      <c r="F520" s="142"/>
      <c r="G520" s="142"/>
      <c r="H520" s="142"/>
      <c r="J520" s="135"/>
      <c r="X520" s="135"/>
    </row>
    <row r="521" spans="5:24" s="39" customFormat="1">
      <c r="E521" s="142"/>
      <c r="F521" s="142"/>
      <c r="G521" s="142"/>
      <c r="H521" s="142"/>
      <c r="J521" s="135"/>
      <c r="X521" s="135"/>
    </row>
    <row r="522" spans="5:24" s="39" customFormat="1">
      <c r="E522" s="142"/>
      <c r="F522" s="142"/>
      <c r="G522" s="142"/>
      <c r="H522" s="142"/>
      <c r="J522" s="135"/>
      <c r="X522" s="135"/>
    </row>
    <row r="523" spans="5:24" s="39" customFormat="1">
      <c r="E523" s="142"/>
      <c r="F523" s="142"/>
      <c r="G523" s="142"/>
      <c r="H523" s="142"/>
      <c r="J523" s="135"/>
      <c r="X523" s="135"/>
    </row>
    <row r="524" spans="5:24" s="39" customFormat="1">
      <c r="E524" s="142"/>
      <c r="F524" s="142"/>
      <c r="G524" s="142"/>
      <c r="H524" s="142"/>
      <c r="J524" s="135"/>
      <c r="X524" s="135"/>
    </row>
    <row r="525" spans="5:24" s="39" customFormat="1">
      <c r="E525" s="142"/>
      <c r="F525" s="142"/>
      <c r="G525" s="142"/>
      <c r="H525" s="142"/>
      <c r="J525" s="135"/>
      <c r="X525" s="135"/>
    </row>
    <row r="526" spans="5:24" s="39" customFormat="1">
      <c r="E526" s="142"/>
      <c r="F526" s="142"/>
      <c r="G526" s="142"/>
      <c r="H526" s="142"/>
      <c r="J526" s="135"/>
      <c r="X526" s="135"/>
    </row>
    <row r="527" spans="5:24" s="39" customFormat="1">
      <c r="E527" s="142"/>
      <c r="F527" s="142"/>
      <c r="G527" s="142"/>
      <c r="H527" s="142"/>
      <c r="J527" s="135"/>
      <c r="X527" s="135"/>
    </row>
    <row r="528" spans="5:24" s="39" customFormat="1">
      <c r="E528" s="142"/>
      <c r="F528" s="142"/>
      <c r="G528" s="142"/>
      <c r="H528" s="142"/>
      <c r="J528" s="135"/>
      <c r="X528" s="135"/>
    </row>
    <row r="529" spans="5:24" s="39" customFormat="1">
      <c r="E529" s="142"/>
      <c r="F529" s="142"/>
      <c r="G529" s="142"/>
      <c r="H529" s="142"/>
      <c r="J529" s="135"/>
      <c r="X529" s="135"/>
    </row>
    <row r="530" spans="5:24" s="39" customFormat="1">
      <c r="E530" s="142"/>
      <c r="F530" s="142"/>
      <c r="G530" s="142"/>
      <c r="H530" s="142"/>
      <c r="J530" s="135"/>
      <c r="X530" s="135"/>
    </row>
    <row r="531" spans="5:24" s="39" customFormat="1">
      <c r="E531" s="142"/>
      <c r="F531" s="142"/>
      <c r="G531" s="142"/>
      <c r="H531" s="142"/>
      <c r="J531" s="135"/>
      <c r="X531" s="135"/>
    </row>
    <row r="532" spans="5:24" s="39" customFormat="1">
      <c r="E532" s="142"/>
      <c r="F532" s="142"/>
      <c r="G532" s="142"/>
      <c r="H532" s="142"/>
      <c r="J532" s="135"/>
      <c r="X532" s="135"/>
    </row>
    <row r="533" spans="5:24" s="39" customFormat="1">
      <c r="E533" s="142"/>
      <c r="F533" s="142"/>
      <c r="G533" s="142"/>
      <c r="H533" s="142"/>
      <c r="J533" s="135"/>
      <c r="X533" s="135"/>
    </row>
    <row r="534" spans="5:24" s="39" customFormat="1">
      <c r="E534" s="142"/>
      <c r="F534" s="142"/>
      <c r="G534" s="142"/>
      <c r="H534" s="142"/>
      <c r="J534" s="135"/>
      <c r="X534" s="135"/>
    </row>
    <row r="535" spans="5:24" s="39" customFormat="1">
      <c r="E535" s="142"/>
      <c r="F535" s="142"/>
      <c r="G535" s="142"/>
      <c r="H535" s="142"/>
      <c r="J535" s="135"/>
      <c r="X535" s="135"/>
    </row>
    <row r="536" spans="5:24" s="39" customFormat="1">
      <c r="E536" s="142"/>
      <c r="F536" s="142"/>
      <c r="G536" s="142"/>
      <c r="H536" s="142"/>
      <c r="J536" s="135"/>
      <c r="X536" s="135"/>
    </row>
    <row r="537" spans="5:24" s="39" customFormat="1">
      <c r="E537" s="142"/>
      <c r="F537" s="142"/>
      <c r="G537" s="142"/>
      <c r="H537" s="142"/>
      <c r="J537" s="135"/>
      <c r="X537" s="135"/>
    </row>
    <row r="538" spans="5:24" s="39" customFormat="1">
      <c r="E538" s="142"/>
      <c r="F538" s="142"/>
      <c r="G538" s="142"/>
      <c r="H538" s="142"/>
      <c r="J538" s="135"/>
      <c r="X538" s="135"/>
    </row>
    <row r="539" spans="5:24" s="39" customFormat="1">
      <c r="E539" s="142"/>
      <c r="F539" s="142"/>
      <c r="G539" s="142"/>
      <c r="H539" s="142"/>
      <c r="J539" s="135"/>
      <c r="X539" s="135"/>
    </row>
    <row r="540" spans="5:24" s="39" customFormat="1">
      <c r="E540" s="142"/>
      <c r="F540" s="142"/>
      <c r="G540" s="142"/>
      <c r="H540" s="142"/>
      <c r="J540" s="135"/>
      <c r="X540" s="135"/>
    </row>
    <row r="541" spans="5:24" s="39" customFormat="1">
      <c r="E541" s="142"/>
      <c r="F541" s="142"/>
      <c r="G541" s="142"/>
      <c r="H541" s="142"/>
      <c r="J541" s="135"/>
      <c r="X541" s="135"/>
    </row>
    <row r="542" spans="5:24" s="39" customFormat="1">
      <c r="E542" s="142"/>
      <c r="F542" s="142"/>
      <c r="G542" s="142"/>
      <c r="H542" s="142"/>
      <c r="J542" s="135"/>
      <c r="X542" s="135"/>
    </row>
    <row r="543" spans="5:24" s="39" customFormat="1">
      <c r="E543" s="142"/>
      <c r="F543" s="142"/>
      <c r="G543" s="142"/>
      <c r="H543" s="142"/>
      <c r="J543" s="135"/>
      <c r="X543" s="135"/>
    </row>
    <row r="544" spans="5:24" s="39" customFormat="1">
      <c r="E544" s="142"/>
      <c r="F544" s="142"/>
      <c r="G544" s="142"/>
      <c r="H544" s="142"/>
      <c r="J544" s="135"/>
      <c r="X544" s="135"/>
    </row>
    <row r="545" spans="5:24" s="39" customFormat="1">
      <c r="E545" s="142"/>
      <c r="F545" s="142"/>
      <c r="G545" s="142"/>
      <c r="H545" s="142"/>
      <c r="J545" s="135"/>
      <c r="X545" s="135"/>
    </row>
    <row r="546" spans="5:24" s="39" customFormat="1">
      <c r="E546" s="142"/>
      <c r="F546" s="142"/>
      <c r="G546" s="142"/>
      <c r="H546" s="142"/>
      <c r="J546" s="135"/>
      <c r="X546" s="135"/>
    </row>
    <row r="547" spans="5:24" s="39" customFormat="1">
      <c r="E547" s="142"/>
      <c r="F547" s="142"/>
      <c r="G547" s="142"/>
      <c r="H547" s="142"/>
      <c r="J547" s="135"/>
      <c r="X547" s="135"/>
    </row>
    <row r="548" spans="5:24" s="39" customFormat="1">
      <c r="E548" s="142"/>
      <c r="F548" s="142"/>
      <c r="G548" s="142"/>
      <c r="H548" s="142"/>
      <c r="J548" s="135"/>
      <c r="X548" s="135"/>
    </row>
    <row r="549" spans="5:24" s="39" customFormat="1">
      <c r="E549" s="142"/>
      <c r="F549" s="142"/>
      <c r="G549" s="142"/>
      <c r="H549" s="142"/>
      <c r="J549" s="135"/>
      <c r="X549" s="135"/>
    </row>
    <row r="550" spans="5:24" s="39" customFormat="1">
      <c r="E550" s="142"/>
      <c r="F550" s="142"/>
      <c r="G550" s="142"/>
      <c r="H550" s="142"/>
      <c r="J550" s="135"/>
      <c r="X550" s="135"/>
    </row>
    <row r="551" spans="5:24" s="39" customFormat="1">
      <c r="E551" s="142"/>
      <c r="F551" s="142"/>
      <c r="G551" s="142"/>
      <c r="H551" s="142"/>
      <c r="J551" s="135"/>
      <c r="X551" s="135"/>
    </row>
    <row r="552" spans="5:24" s="39" customFormat="1">
      <c r="E552" s="142"/>
      <c r="F552" s="142"/>
      <c r="G552" s="142"/>
      <c r="H552" s="142"/>
      <c r="J552" s="135"/>
      <c r="X552" s="135"/>
    </row>
    <row r="553" spans="5:24" s="39" customFormat="1">
      <c r="E553" s="142"/>
      <c r="F553" s="142"/>
      <c r="G553" s="142"/>
      <c r="H553" s="142"/>
      <c r="J553" s="135"/>
      <c r="X553" s="135"/>
    </row>
    <row r="554" spans="5:24" s="39" customFormat="1">
      <c r="E554" s="142"/>
      <c r="F554" s="142"/>
      <c r="G554" s="142"/>
      <c r="H554" s="142"/>
      <c r="J554" s="135"/>
      <c r="X554" s="135"/>
    </row>
    <row r="555" spans="5:24" s="39" customFormat="1">
      <c r="E555" s="142"/>
      <c r="F555" s="142"/>
      <c r="G555" s="142"/>
      <c r="H555" s="142"/>
      <c r="J555" s="135"/>
      <c r="X555" s="135"/>
    </row>
    <row r="556" spans="5:24" s="39" customFormat="1">
      <c r="E556" s="142"/>
      <c r="F556" s="142"/>
      <c r="G556" s="142"/>
      <c r="H556" s="142"/>
      <c r="J556" s="135"/>
      <c r="X556" s="135"/>
    </row>
    <row r="557" spans="5:24" s="39" customFormat="1">
      <c r="E557" s="142"/>
      <c r="F557" s="142"/>
      <c r="G557" s="142"/>
      <c r="H557" s="142"/>
      <c r="J557" s="135"/>
      <c r="X557" s="135"/>
    </row>
    <row r="558" spans="5:24" s="39" customFormat="1">
      <c r="E558" s="142"/>
      <c r="F558" s="142"/>
      <c r="G558" s="142"/>
      <c r="H558" s="142"/>
      <c r="J558" s="135"/>
      <c r="X558" s="135"/>
    </row>
    <row r="559" spans="5:24" s="39" customFormat="1">
      <c r="E559" s="142"/>
      <c r="F559" s="142"/>
      <c r="G559" s="142"/>
      <c r="H559" s="142"/>
      <c r="J559" s="135"/>
      <c r="X559" s="135"/>
    </row>
    <row r="560" spans="5:24" s="39" customFormat="1">
      <c r="E560" s="142"/>
      <c r="F560" s="142"/>
      <c r="G560" s="142"/>
      <c r="H560" s="142"/>
      <c r="J560" s="135"/>
      <c r="X560" s="135"/>
    </row>
    <row r="561" spans="5:24" s="39" customFormat="1">
      <c r="E561" s="142"/>
      <c r="F561" s="142"/>
      <c r="G561" s="142"/>
      <c r="H561" s="142"/>
      <c r="J561" s="135"/>
      <c r="X561" s="135"/>
    </row>
    <row r="562" spans="5:24" s="39" customFormat="1">
      <c r="E562" s="142"/>
      <c r="F562" s="142"/>
      <c r="G562" s="142"/>
      <c r="H562" s="142"/>
      <c r="J562" s="135"/>
      <c r="X562" s="135"/>
    </row>
    <row r="563" spans="5:24" s="39" customFormat="1">
      <c r="E563" s="142"/>
      <c r="F563" s="142"/>
      <c r="G563" s="142"/>
      <c r="H563" s="142"/>
      <c r="J563" s="135"/>
      <c r="X563" s="135"/>
    </row>
    <row r="564" spans="5:24" s="39" customFormat="1">
      <c r="E564" s="142"/>
      <c r="F564" s="142"/>
      <c r="G564" s="142"/>
      <c r="H564" s="142"/>
      <c r="J564" s="135"/>
      <c r="X564" s="135"/>
    </row>
    <row r="565" spans="5:24" s="39" customFormat="1">
      <c r="E565" s="142"/>
      <c r="F565" s="142"/>
      <c r="G565" s="142"/>
      <c r="H565" s="142"/>
      <c r="J565" s="135"/>
      <c r="X565" s="135"/>
    </row>
    <row r="566" spans="5:24" s="39" customFormat="1">
      <c r="E566" s="142"/>
      <c r="F566" s="142"/>
      <c r="G566" s="142"/>
      <c r="H566" s="142"/>
      <c r="J566" s="135"/>
      <c r="X566" s="135"/>
    </row>
    <row r="567" spans="5:24" s="39" customFormat="1">
      <c r="E567" s="142"/>
      <c r="F567" s="142"/>
      <c r="G567" s="142"/>
      <c r="H567" s="142"/>
      <c r="J567" s="135"/>
      <c r="X567" s="135"/>
    </row>
    <row r="568" spans="5:24" s="39" customFormat="1">
      <c r="E568" s="142"/>
      <c r="F568" s="142"/>
      <c r="G568" s="142"/>
      <c r="H568" s="142"/>
      <c r="J568" s="135"/>
      <c r="X568" s="135"/>
    </row>
    <row r="569" spans="5:24" s="39" customFormat="1">
      <c r="E569" s="142"/>
      <c r="F569" s="142"/>
      <c r="G569" s="142"/>
      <c r="H569" s="142"/>
      <c r="J569" s="135"/>
      <c r="X569" s="135"/>
    </row>
    <row r="570" spans="5:24" s="39" customFormat="1">
      <c r="E570" s="142"/>
      <c r="F570" s="142"/>
      <c r="G570" s="142"/>
      <c r="H570" s="142"/>
      <c r="J570" s="135"/>
      <c r="X570" s="135"/>
    </row>
    <row r="571" spans="5:24" s="39" customFormat="1">
      <c r="E571" s="142"/>
      <c r="F571" s="142"/>
      <c r="G571" s="142"/>
      <c r="H571" s="142"/>
      <c r="J571" s="135"/>
      <c r="X571" s="135"/>
    </row>
    <row r="572" spans="5:24" s="39" customFormat="1">
      <c r="E572" s="142"/>
      <c r="F572" s="142"/>
      <c r="G572" s="142"/>
      <c r="H572" s="142"/>
      <c r="J572" s="135"/>
      <c r="X572" s="135"/>
    </row>
    <row r="573" spans="5:24" s="39" customFormat="1">
      <c r="E573" s="142"/>
      <c r="F573" s="142"/>
      <c r="G573" s="142"/>
      <c r="H573" s="142"/>
      <c r="J573" s="135"/>
      <c r="X573" s="135"/>
    </row>
    <row r="574" spans="5:24" s="39" customFormat="1">
      <c r="E574" s="142"/>
      <c r="F574" s="142"/>
      <c r="G574" s="142"/>
      <c r="H574" s="142"/>
      <c r="J574" s="135"/>
      <c r="X574" s="135"/>
    </row>
    <row r="575" spans="5:24" s="39" customFormat="1">
      <c r="E575" s="142"/>
      <c r="F575" s="142"/>
      <c r="G575" s="142"/>
      <c r="H575" s="142"/>
      <c r="J575" s="135"/>
      <c r="X575" s="135"/>
    </row>
    <row r="576" spans="5:24" s="39" customFormat="1">
      <c r="E576" s="142"/>
      <c r="F576" s="142"/>
      <c r="G576" s="142"/>
      <c r="H576" s="142"/>
      <c r="J576" s="135"/>
      <c r="X576" s="135"/>
    </row>
    <row r="577" spans="5:24" s="39" customFormat="1">
      <c r="E577" s="142"/>
      <c r="F577" s="142"/>
      <c r="G577" s="142"/>
      <c r="H577" s="142"/>
      <c r="J577" s="135"/>
      <c r="X577" s="135"/>
    </row>
    <row r="578" spans="5:24" s="39" customFormat="1">
      <c r="E578" s="142"/>
      <c r="F578" s="142"/>
      <c r="G578" s="142"/>
      <c r="H578" s="142"/>
      <c r="J578" s="135"/>
      <c r="X578" s="135"/>
    </row>
    <row r="579" spans="5:24" s="39" customFormat="1">
      <c r="E579" s="142"/>
      <c r="F579" s="142"/>
      <c r="G579" s="142"/>
      <c r="H579" s="142"/>
      <c r="J579" s="135"/>
      <c r="X579" s="135"/>
    </row>
    <row r="580" spans="5:24" s="39" customFormat="1">
      <c r="E580" s="142"/>
      <c r="F580" s="142"/>
      <c r="G580" s="142"/>
      <c r="H580" s="142"/>
      <c r="J580" s="135"/>
      <c r="X580" s="135"/>
    </row>
    <row r="581" spans="5:24" s="39" customFormat="1">
      <c r="E581" s="142"/>
      <c r="F581" s="142"/>
      <c r="G581" s="142"/>
      <c r="H581" s="142"/>
      <c r="J581" s="135"/>
      <c r="X581" s="135"/>
    </row>
    <row r="582" spans="5:24" s="39" customFormat="1">
      <c r="E582" s="142"/>
      <c r="F582" s="142"/>
      <c r="G582" s="142"/>
      <c r="H582" s="142"/>
      <c r="J582" s="135"/>
      <c r="X582" s="135"/>
    </row>
    <row r="583" spans="5:24" s="39" customFormat="1">
      <c r="E583" s="142"/>
      <c r="F583" s="142"/>
      <c r="G583" s="142"/>
      <c r="H583" s="142"/>
      <c r="J583" s="135"/>
      <c r="X583" s="135"/>
    </row>
    <row r="584" spans="5:24" s="39" customFormat="1">
      <c r="E584" s="142"/>
      <c r="F584" s="142"/>
      <c r="G584" s="142"/>
      <c r="H584" s="142"/>
      <c r="J584" s="135"/>
      <c r="X584" s="135"/>
    </row>
    <row r="585" spans="5:24" s="39" customFormat="1">
      <c r="E585" s="142"/>
      <c r="F585" s="142"/>
      <c r="G585" s="142"/>
      <c r="H585" s="142"/>
      <c r="J585" s="135"/>
      <c r="X585" s="135"/>
    </row>
    <row r="586" spans="5:24" s="39" customFormat="1">
      <c r="E586" s="142"/>
      <c r="F586" s="142"/>
      <c r="G586" s="142"/>
      <c r="H586" s="142"/>
      <c r="J586" s="135"/>
      <c r="X586" s="135"/>
    </row>
    <row r="587" spans="5:24" s="39" customFormat="1">
      <c r="E587" s="142"/>
      <c r="F587" s="142"/>
      <c r="G587" s="142"/>
      <c r="H587" s="142"/>
      <c r="J587" s="135"/>
      <c r="X587" s="135"/>
    </row>
    <row r="588" spans="5:24" s="39" customFormat="1">
      <c r="E588" s="142"/>
      <c r="F588" s="142"/>
      <c r="G588" s="142"/>
      <c r="H588" s="142"/>
      <c r="J588" s="135"/>
      <c r="X588" s="135"/>
    </row>
    <row r="589" spans="5:24" s="39" customFormat="1">
      <c r="E589" s="142"/>
      <c r="F589" s="142"/>
      <c r="G589" s="142"/>
      <c r="H589" s="142"/>
      <c r="J589" s="135"/>
      <c r="X589" s="135"/>
    </row>
    <row r="590" spans="5:24" s="39" customFormat="1">
      <c r="E590" s="142"/>
      <c r="F590" s="142"/>
      <c r="G590" s="142"/>
      <c r="H590" s="142"/>
      <c r="J590" s="135"/>
      <c r="X590" s="135"/>
    </row>
    <row r="591" spans="5:24" s="39" customFormat="1">
      <c r="E591" s="142"/>
      <c r="F591" s="142"/>
      <c r="G591" s="142"/>
      <c r="H591" s="142"/>
      <c r="J591" s="135"/>
      <c r="X591" s="135"/>
    </row>
    <row r="592" spans="5:24" s="39" customFormat="1">
      <c r="E592" s="142"/>
      <c r="F592" s="142"/>
      <c r="G592" s="142"/>
      <c r="H592" s="142"/>
      <c r="J592" s="135"/>
      <c r="X592" s="135"/>
    </row>
    <row r="593" spans="5:24" s="39" customFormat="1">
      <c r="E593" s="142"/>
      <c r="F593" s="142"/>
      <c r="G593" s="142"/>
      <c r="H593" s="142"/>
      <c r="J593" s="135"/>
      <c r="X593" s="135"/>
    </row>
    <row r="594" spans="5:24" s="39" customFormat="1">
      <c r="E594" s="142"/>
      <c r="F594" s="142"/>
      <c r="G594" s="142"/>
      <c r="H594" s="142"/>
      <c r="J594" s="135"/>
      <c r="X594" s="135"/>
    </row>
    <row r="595" spans="5:24" s="39" customFormat="1">
      <c r="E595" s="142"/>
      <c r="F595" s="142"/>
      <c r="G595" s="142"/>
      <c r="H595" s="142"/>
      <c r="J595" s="135"/>
      <c r="X595" s="135"/>
    </row>
    <row r="596" spans="5:24" s="39" customFormat="1">
      <c r="E596" s="142"/>
      <c r="F596" s="142"/>
      <c r="G596" s="142"/>
      <c r="H596" s="142"/>
      <c r="J596" s="135"/>
      <c r="X596" s="135"/>
    </row>
    <row r="597" spans="5:24" s="39" customFormat="1">
      <c r="E597" s="142"/>
      <c r="F597" s="142"/>
      <c r="G597" s="142"/>
      <c r="H597" s="142"/>
      <c r="J597" s="135"/>
      <c r="X597" s="135"/>
    </row>
    <row r="598" spans="5:24" s="39" customFormat="1">
      <c r="E598" s="142"/>
      <c r="F598" s="142"/>
      <c r="G598" s="142"/>
      <c r="H598" s="142"/>
      <c r="J598" s="135"/>
      <c r="X598" s="135"/>
    </row>
    <row r="599" spans="5:24" s="39" customFormat="1">
      <c r="E599" s="142"/>
      <c r="F599" s="142"/>
      <c r="G599" s="142"/>
      <c r="H599" s="142"/>
      <c r="J599" s="135"/>
      <c r="X599" s="135"/>
    </row>
    <row r="600" spans="5:24" s="39" customFormat="1">
      <c r="E600" s="142"/>
      <c r="F600" s="142"/>
      <c r="G600" s="142"/>
      <c r="H600" s="142"/>
      <c r="J600" s="135"/>
      <c r="X600" s="135"/>
    </row>
    <row r="601" spans="5:24" s="39" customFormat="1">
      <c r="E601" s="142"/>
      <c r="F601" s="142"/>
      <c r="G601" s="142"/>
      <c r="H601" s="142"/>
      <c r="J601" s="135"/>
      <c r="X601" s="135"/>
    </row>
    <row r="602" spans="5:24" s="39" customFormat="1">
      <c r="E602" s="142"/>
      <c r="F602" s="142"/>
      <c r="G602" s="142"/>
      <c r="H602" s="142"/>
      <c r="J602" s="135"/>
      <c r="X602" s="135"/>
    </row>
    <row r="603" spans="5:24" s="39" customFormat="1">
      <c r="E603" s="142"/>
      <c r="F603" s="142"/>
      <c r="G603" s="142"/>
      <c r="H603" s="142"/>
      <c r="J603" s="135"/>
      <c r="X603" s="135"/>
    </row>
    <row r="604" spans="5:24" s="39" customFormat="1">
      <c r="E604" s="142"/>
      <c r="F604" s="142"/>
      <c r="G604" s="142"/>
      <c r="H604" s="142"/>
      <c r="J604" s="135"/>
      <c r="X604" s="135"/>
    </row>
    <row r="605" spans="5:24" s="39" customFormat="1">
      <c r="E605" s="142"/>
      <c r="F605" s="142"/>
      <c r="G605" s="142"/>
      <c r="H605" s="142"/>
      <c r="J605" s="135"/>
      <c r="X605" s="135"/>
    </row>
    <row r="606" spans="5:24" s="39" customFormat="1">
      <c r="E606" s="142"/>
      <c r="F606" s="142"/>
      <c r="G606" s="142"/>
      <c r="H606" s="142"/>
      <c r="J606" s="135"/>
      <c r="X606" s="135"/>
    </row>
    <row r="607" spans="5:24" s="39" customFormat="1">
      <c r="E607" s="142"/>
      <c r="F607" s="142"/>
      <c r="G607" s="142"/>
      <c r="H607" s="142"/>
      <c r="J607" s="135"/>
      <c r="X607" s="135"/>
    </row>
    <row r="608" spans="5:24" s="39" customFormat="1">
      <c r="E608" s="142"/>
      <c r="F608" s="142"/>
      <c r="G608" s="142"/>
      <c r="H608" s="142"/>
      <c r="J608" s="135"/>
      <c r="X608" s="135"/>
    </row>
    <row r="609" spans="5:24" s="39" customFormat="1">
      <c r="E609" s="142"/>
      <c r="F609" s="142"/>
      <c r="G609" s="142"/>
      <c r="H609" s="142"/>
      <c r="J609" s="135"/>
      <c r="X609" s="135"/>
    </row>
    <row r="610" spans="5:24" s="39" customFormat="1">
      <c r="E610" s="142"/>
      <c r="F610" s="142"/>
      <c r="G610" s="142"/>
      <c r="H610" s="142"/>
      <c r="J610" s="135"/>
      <c r="X610" s="135"/>
    </row>
    <row r="611" spans="5:24" s="39" customFormat="1">
      <c r="E611" s="142"/>
      <c r="F611" s="142"/>
      <c r="G611" s="142"/>
      <c r="H611" s="142"/>
      <c r="J611" s="135"/>
      <c r="X611" s="135"/>
    </row>
    <row r="612" spans="5:24" s="39" customFormat="1">
      <c r="E612" s="142"/>
      <c r="F612" s="142"/>
      <c r="G612" s="142"/>
      <c r="H612" s="142"/>
      <c r="J612" s="135"/>
      <c r="X612" s="135"/>
    </row>
    <row r="613" spans="5:24" s="39" customFormat="1">
      <c r="E613" s="142"/>
      <c r="F613" s="142"/>
      <c r="G613" s="142"/>
      <c r="H613" s="142"/>
      <c r="J613" s="135"/>
      <c r="X613" s="135"/>
    </row>
    <row r="614" spans="5:24" s="39" customFormat="1">
      <c r="E614" s="142"/>
      <c r="F614" s="142"/>
      <c r="G614" s="142"/>
      <c r="H614" s="142"/>
      <c r="J614" s="135"/>
      <c r="X614" s="135"/>
    </row>
    <row r="615" spans="5:24" s="39" customFormat="1">
      <c r="E615" s="142"/>
      <c r="F615" s="142"/>
      <c r="G615" s="142"/>
      <c r="H615" s="142"/>
      <c r="J615" s="135"/>
      <c r="X615" s="135"/>
    </row>
    <row r="616" spans="5:24" s="39" customFormat="1">
      <c r="E616" s="142"/>
      <c r="F616" s="142"/>
      <c r="G616" s="142"/>
      <c r="H616" s="142"/>
      <c r="J616" s="135"/>
      <c r="X616" s="135"/>
    </row>
    <row r="617" spans="5:24" s="39" customFormat="1">
      <c r="E617" s="142"/>
      <c r="F617" s="142"/>
      <c r="G617" s="142"/>
      <c r="H617" s="142"/>
      <c r="J617" s="135"/>
      <c r="X617" s="135"/>
    </row>
    <row r="618" spans="5:24" s="39" customFormat="1">
      <c r="E618" s="142"/>
      <c r="F618" s="142"/>
      <c r="G618" s="142"/>
      <c r="H618" s="142"/>
      <c r="J618" s="135"/>
      <c r="X618" s="135"/>
    </row>
    <row r="619" spans="5:24" s="39" customFormat="1">
      <c r="E619" s="142"/>
      <c r="F619" s="142"/>
      <c r="G619" s="142"/>
      <c r="H619" s="142"/>
      <c r="J619" s="135"/>
      <c r="X619" s="135"/>
    </row>
    <row r="620" spans="5:24" s="39" customFormat="1">
      <c r="E620" s="142"/>
      <c r="F620" s="142"/>
      <c r="G620" s="142"/>
      <c r="H620" s="142"/>
      <c r="J620" s="135"/>
      <c r="X620" s="135"/>
    </row>
    <row r="621" spans="5:24" s="39" customFormat="1">
      <c r="E621" s="142"/>
      <c r="F621" s="142"/>
      <c r="G621" s="142"/>
      <c r="H621" s="142"/>
      <c r="J621" s="135"/>
      <c r="X621" s="135"/>
    </row>
    <row r="622" spans="5:24" s="39" customFormat="1">
      <c r="E622" s="142"/>
      <c r="F622" s="142"/>
      <c r="G622" s="142"/>
      <c r="H622" s="142"/>
      <c r="J622" s="135"/>
      <c r="X622" s="135"/>
    </row>
    <row r="623" spans="5:24" s="39" customFormat="1">
      <c r="E623" s="142"/>
      <c r="F623" s="142"/>
      <c r="G623" s="142"/>
      <c r="H623" s="142"/>
      <c r="J623" s="135"/>
      <c r="X623" s="135"/>
    </row>
    <row r="624" spans="5:24" s="39" customFormat="1">
      <c r="E624" s="142"/>
      <c r="F624" s="142"/>
      <c r="G624" s="142"/>
      <c r="H624" s="142"/>
      <c r="J624" s="135"/>
      <c r="X624" s="135"/>
    </row>
    <row r="625" spans="5:24" s="39" customFormat="1">
      <c r="E625" s="142"/>
      <c r="F625" s="142"/>
      <c r="G625" s="142"/>
      <c r="H625" s="142"/>
      <c r="J625" s="135"/>
      <c r="X625" s="135"/>
    </row>
    <row r="626" spans="5:24" s="39" customFormat="1">
      <c r="E626" s="142"/>
      <c r="F626" s="142"/>
      <c r="G626" s="142"/>
      <c r="H626" s="142"/>
      <c r="J626" s="135"/>
      <c r="X626" s="135"/>
    </row>
    <row r="627" spans="5:24" s="39" customFormat="1">
      <c r="E627" s="142"/>
      <c r="F627" s="142"/>
      <c r="G627" s="142"/>
      <c r="H627" s="142"/>
      <c r="J627" s="135"/>
      <c r="X627" s="135"/>
    </row>
    <row r="628" spans="5:24" s="39" customFormat="1">
      <c r="E628" s="142"/>
      <c r="F628" s="142"/>
      <c r="G628" s="142"/>
      <c r="H628" s="142"/>
      <c r="J628" s="135"/>
      <c r="X628" s="135"/>
    </row>
    <row r="629" spans="5:24" s="39" customFormat="1">
      <c r="E629" s="142"/>
      <c r="F629" s="142"/>
      <c r="G629" s="142"/>
      <c r="H629" s="142"/>
      <c r="J629" s="135"/>
      <c r="X629" s="135"/>
    </row>
    <row r="630" spans="5:24" s="39" customFormat="1">
      <c r="E630" s="142"/>
      <c r="F630" s="142"/>
      <c r="G630" s="142"/>
      <c r="H630" s="142"/>
      <c r="J630" s="135"/>
      <c r="X630" s="135"/>
    </row>
    <row r="631" spans="5:24" s="39" customFormat="1">
      <c r="E631" s="142"/>
      <c r="F631" s="142"/>
      <c r="G631" s="142"/>
      <c r="H631" s="142"/>
      <c r="J631" s="135"/>
      <c r="X631" s="135"/>
    </row>
    <row r="632" spans="5:24" s="39" customFormat="1">
      <c r="E632" s="142"/>
      <c r="F632" s="142"/>
      <c r="G632" s="142"/>
      <c r="H632" s="142"/>
      <c r="J632" s="135"/>
      <c r="X632" s="135"/>
    </row>
    <row r="633" spans="5:24" s="39" customFormat="1">
      <c r="E633" s="142"/>
      <c r="F633" s="142"/>
      <c r="G633" s="142"/>
      <c r="H633" s="142"/>
      <c r="J633" s="135"/>
      <c r="X633" s="135"/>
    </row>
    <row r="634" spans="5:24" s="39" customFormat="1">
      <c r="E634" s="142"/>
      <c r="F634" s="142"/>
      <c r="G634" s="142"/>
      <c r="H634" s="142"/>
      <c r="J634" s="135"/>
      <c r="X634" s="135"/>
    </row>
    <row r="635" spans="5:24" s="39" customFormat="1">
      <c r="E635" s="142"/>
      <c r="F635" s="142"/>
      <c r="G635" s="142"/>
      <c r="H635" s="142"/>
      <c r="J635" s="135"/>
      <c r="X635" s="135"/>
    </row>
    <row r="636" spans="5:24" s="39" customFormat="1">
      <c r="E636" s="142"/>
      <c r="F636" s="142"/>
      <c r="G636" s="142"/>
      <c r="H636" s="142"/>
      <c r="J636" s="135"/>
      <c r="X636" s="135"/>
    </row>
    <row r="637" spans="5:24" s="39" customFormat="1">
      <c r="E637" s="142"/>
      <c r="F637" s="142"/>
      <c r="G637" s="142"/>
      <c r="H637" s="142"/>
      <c r="J637" s="135"/>
      <c r="X637" s="135"/>
    </row>
    <row r="638" spans="5:24" s="39" customFormat="1">
      <c r="E638" s="142"/>
      <c r="F638" s="142"/>
      <c r="G638" s="142"/>
      <c r="H638" s="142"/>
      <c r="J638" s="135"/>
      <c r="X638" s="135"/>
    </row>
    <row r="639" spans="5:24" s="39" customFormat="1">
      <c r="E639" s="142"/>
      <c r="F639" s="142"/>
      <c r="G639" s="142"/>
      <c r="H639" s="142"/>
      <c r="J639" s="135"/>
      <c r="X639" s="135"/>
    </row>
    <row r="640" spans="5:24" s="39" customFormat="1">
      <c r="E640" s="142"/>
      <c r="F640" s="142"/>
      <c r="G640" s="142"/>
      <c r="H640" s="142"/>
      <c r="J640" s="135"/>
      <c r="X640" s="135"/>
    </row>
    <row r="641" spans="5:24" s="39" customFormat="1">
      <c r="E641" s="142"/>
      <c r="F641" s="142"/>
      <c r="G641" s="142"/>
      <c r="H641" s="142"/>
      <c r="J641" s="135"/>
      <c r="X641" s="135"/>
    </row>
    <row r="642" spans="5:24" s="39" customFormat="1">
      <c r="E642" s="142"/>
      <c r="F642" s="142"/>
      <c r="G642" s="142"/>
      <c r="H642" s="142"/>
      <c r="J642" s="135"/>
      <c r="X642" s="135"/>
    </row>
    <row r="643" spans="5:24" s="39" customFormat="1">
      <c r="E643" s="142"/>
      <c r="F643" s="142"/>
      <c r="G643" s="142"/>
      <c r="H643" s="142"/>
      <c r="J643" s="135"/>
      <c r="X643" s="135"/>
    </row>
    <row r="644" spans="5:24" s="39" customFormat="1">
      <c r="E644" s="142"/>
      <c r="F644" s="142"/>
      <c r="G644" s="142"/>
      <c r="H644" s="142"/>
      <c r="J644" s="135"/>
      <c r="X644" s="135"/>
    </row>
    <row r="645" spans="5:24" s="39" customFormat="1">
      <c r="E645" s="142"/>
      <c r="F645" s="142"/>
      <c r="G645" s="142"/>
      <c r="H645" s="142"/>
      <c r="J645" s="135"/>
      <c r="X645" s="135"/>
    </row>
    <row r="646" spans="5:24" s="39" customFormat="1">
      <c r="E646" s="142"/>
      <c r="F646" s="142"/>
      <c r="G646" s="142"/>
      <c r="H646" s="142"/>
      <c r="J646" s="135"/>
      <c r="X646" s="135"/>
    </row>
    <row r="647" spans="5:24" s="39" customFormat="1">
      <c r="E647" s="142"/>
      <c r="F647" s="142"/>
      <c r="G647" s="142"/>
      <c r="H647" s="142"/>
      <c r="J647" s="135"/>
      <c r="X647" s="135"/>
    </row>
    <row r="648" spans="5:24" s="39" customFormat="1">
      <c r="E648" s="142"/>
      <c r="F648" s="142"/>
      <c r="G648" s="142"/>
      <c r="H648" s="142"/>
      <c r="J648" s="135"/>
      <c r="X648" s="135"/>
    </row>
    <row r="649" spans="5:24" s="39" customFormat="1">
      <c r="E649" s="142"/>
      <c r="F649" s="142"/>
      <c r="G649" s="142"/>
      <c r="H649" s="142"/>
      <c r="J649" s="135"/>
      <c r="X649" s="135"/>
    </row>
    <row r="650" spans="5:24" s="39" customFormat="1">
      <c r="E650" s="142"/>
      <c r="F650" s="142"/>
      <c r="G650" s="142"/>
      <c r="H650" s="142"/>
      <c r="J650" s="135"/>
      <c r="X650" s="135"/>
    </row>
    <row r="651" spans="5:24" s="39" customFormat="1">
      <c r="E651" s="142"/>
      <c r="F651" s="142"/>
      <c r="G651" s="142"/>
      <c r="H651" s="142"/>
      <c r="J651" s="135"/>
      <c r="X651" s="135"/>
    </row>
    <row r="652" spans="5:24" s="39" customFormat="1">
      <c r="E652" s="142"/>
      <c r="F652" s="142"/>
      <c r="G652" s="142"/>
      <c r="H652" s="142"/>
      <c r="J652" s="135"/>
      <c r="X652" s="135"/>
    </row>
    <row r="653" spans="5:24" s="39" customFormat="1">
      <c r="E653" s="142"/>
      <c r="F653" s="142"/>
      <c r="G653" s="142"/>
      <c r="H653" s="142"/>
      <c r="J653" s="135"/>
      <c r="X653" s="135"/>
    </row>
    <row r="654" spans="5:24" s="39" customFormat="1">
      <c r="E654" s="142"/>
      <c r="F654" s="142"/>
      <c r="G654" s="142"/>
      <c r="H654" s="142"/>
      <c r="J654" s="135"/>
      <c r="X654" s="135"/>
    </row>
    <row r="655" spans="5:24" s="39" customFormat="1">
      <c r="E655" s="142"/>
      <c r="F655" s="142"/>
      <c r="G655" s="142"/>
      <c r="H655" s="142"/>
      <c r="J655" s="135"/>
      <c r="X655" s="135"/>
    </row>
    <row r="656" spans="5:24" s="39" customFormat="1">
      <c r="E656" s="142"/>
      <c r="F656" s="142"/>
      <c r="G656" s="142"/>
      <c r="H656" s="142"/>
      <c r="J656" s="135"/>
      <c r="X656" s="135"/>
    </row>
    <row r="657" spans="5:24" s="39" customFormat="1">
      <c r="E657" s="142"/>
      <c r="F657" s="142"/>
      <c r="G657" s="142"/>
      <c r="H657" s="142"/>
      <c r="J657" s="135"/>
      <c r="X657" s="135"/>
    </row>
    <row r="658" spans="5:24" s="39" customFormat="1">
      <c r="E658" s="142"/>
      <c r="F658" s="142"/>
      <c r="G658" s="142"/>
      <c r="H658" s="142"/>
      <c r="J658" s="135"/>
      <c r="X658" s="135"/>
    </row>
    <row r="659" spans="5:24" s="39" customFormat="1">
      <c r="E659" s="142"/>
      <c r="F659" s="142"/>
      <c r="G659" s="142"/>
      <c r="H659" s="142"/>
      <c r="J659" s="135"/>
      <c r="X659" s="135"/>
    </row>
    <row r="660" spans="5:24" s="39" customFormat="1">
      <c r="E660" s="142"/>
      <c r="F660" s="142"/>
      <c r="G660" s="142"/>
      <c r="H660" s="142"/>
      <c r="J660" s="135"/>
      <c r="X660" s="135"/>
    </row>
    <row r="661" spans="5:24" s="39" customFormat="1">
      <c r="E661" s="142"/>
      <c r="F661" s="142"/>
      <c r="G661" s="142"/>
      <c r="H661" s="142"/>
      <c r="J661" s="135"/>
      <c r="X661" s="135"/>
    </row>
    <row r="662" spans="5:24" s="39" customFormat="1">
      <c r="E662" s="142"/>
      <c r="F662" s="142"/>
      <c r="G662" s="142"/>
      <c r="H662" s="142"/>
      <c r="J662" s="135"/>
      <c r="X662" s="135"/>
    </row>
    <row r="663" spans="5:24" s="39" customFormat="1">
      <c r="E663" s="142"/>
      <c r="F663" s="142"/>
      <c r="G663" s="142"/>
      <c r="H663" s="142"/>
      <c r="J663" s="135"/>
      <c r="X663" s="135"/>
    </row>
    <row r="664" spans="5:24" s="39" customFormat="1">
      <c r="E664" s="142"/>
      <c r="F664" s="142"/>
      <c r="G664" s="142"/>
      <c r="H664" s="142"/>
      <c r="J664" s="135"/>
      <c r="X664" s="135"/>
    </row>
    <row r="665" spans="5:24" s="39" customFormat="1">
      <c r="E665" s="142"/>
      <c r="F665" s="142"/>
      <c r="G665" s="142"/>
      <c r="H665" s="142"/>
      <c r="J665" s="135"/>
      <c r="X665" s="135"/>
    </row>
    <row r="666" spans="5:24" s="39" customFormat="1">
      <c r="E666" s="142"/>
      <c r="F666" s="142"/>
      <c r="G666" s="142"/>
      <c r="H666" s="142"/>
      <c r="J666" s="135"/>
      <c r="X666" s="135"/>
    </row>
    <row r="667" spans="5:24" s="39" customFormat="1">
      <c r="E667" s="142"/>
      <c r="F667" s="142"/>
      <c r="G667" s="142"/>
      <c r="H667" s="142"/>
      <c r="J667" s="135"/>
      <c r="X667" s="135"/>
    </row>
    <row r="668" spans="5:24" s="39" customFormat="1">
      <c r="E668" s="142"/>
      <c r="F668" s="142"/>
      <c r="G668" s="142"/>
      <c r="H668" s="142"/>
      <c r="J668" s="135"/>
      <c r="X668" s="135"/>
    </row>
    <row r="669" spans="5:24" s="39" customFormat="1">
      <c r="E669" s="142"/>
      <c r="F669" s="142"/>
      <c r="G669" s="142"/>
      <c r="H669" s="142"/>
      <c r="J669" s="135"/>
      <c r="X669" s="135"/>
    </row>
    <row r="670" spans="5:24" s="39" customFormat="1">
      <c r="E670" s="142"/>
      <c r="F670" s="142"/>
      <c r="G670" s="142"/>
      <c r="H670" s="142"/>
      <c r="J670" s="135"/>
      <c r="X670" s="135"/>
    </row>
    <row r="671" spans="5:24" s="39" customFormat="1">
      <c r="E671" s="142"/>
      <c r="F671" s="142"/>
      <c r="G671" s="142"/>
      <c r="H671" s="142"/>
      <c r="J671" s="135"/>
      <c r="X671" s="135"/>
    </row>
    <row r="672" spans="5:24" s="39" customFormat="1">
      <c r="E672" s="142"/>
      <c r="F672" s="142"/>
      <c r="G672" s="142"/>
      <c r="H672" s="142"/>
      <c r="J672" s="135"/>
      <c r="X672" s="135"/>
    </row>
    <row r="673" spans="5:24" s="39" customFormat="1">
      <c r="E673" s="142"/>
      <c r="F673" s="142"/>
      <c r="G673" s="142"/>
      <c r="H673" s="142"/>
      <c r="J673" s="135"/>
      <c r="X673" s="135"/>
    </row>
    <row r="674" spans="5:24" s="39" customFormat="1">
      <c r="E674" s="142"/>
      <c r="F674" s="142"/>
      <c r="G674" s="142"/>
      <c r="H674" s="142"/>
      <c r="J674" s="135"/>
      <c r="X674" s="135"/>
    </row>
    <row r="675" spans="5:24" s="39" customFormat="1">
      <c r="E675" s="142"/>
      <c r="F675" s="142"/>
      <c r="G675" s="142"/>
      <c r="H675" s="142"/>
      <c r="J675" s="135"/>
      <c r="X675" s="135"/>
    </row>
    <row r="676" spans="5:24" s="39" customFormat="1">
      <c r="E676" s="142"/>
      <c r="F676" s="142"/>
      <c r="G676" s="142"/>
      <c r="H676" s="142"/>
      <c r="J676" s="135"/>
      <c r="X676" s="135"/>
    </row>
    <row r="677" spans="5:24" s="39" customFormat="1">
      <c r="E677" s="142"/>
      <c r="F677" s="142"/>
      <c r="G677" s="142"/>
      <c r="H677" s="142"/>
      <c r="J677" s="135"/>
      <c r="X677" s="135"/>
    </row>
    <row r="678" spans="5:24" s="39" customFormat="1">
      <c r="E678" s="142"/>
      <c r="F678" s="142"/>
      <c r="G678" s="142"/>
      <c r="H678" s="142"/>
      <c r="J678" s="135"/>
      <c r="X678" s="135"/>
    </row>
    <row r="679" spans="5:24" s="39" customFormat="1">
      <c r="E679" s="142"/>
      <c r="F679" s="142"/>
      <c r="G679" s="142"/>
      <c r="H679" s="142"/>
      <c r="J679" s="135"/>
      <c r="X679" s="135"/>
    </row>
    <row r="680" spans="5:24" s="39" customFormat="1">
      <c r="E680" s="142"/>
      <c r="F680" s="142"/>
      <c r="G680" s="142"/>
      <c r="H680" s="142"/>
      <c r="J680" s="135"/>
      <c r="X680" s="135"/>
    </row>
    <row r="681" spans="5:24" s="39" customFormat="1">
      <c r="E681" s="142"/>
      <c r="F681" s="142"/>
      <c r="G681" s="142"/>
      <c r="H681" s="142"/>
      <c r="J681" s="135"/>
      <c r="X681" s="135"/>
    </row>
    <row r="682" spans="5:24" s="39" customFormat="1">
      <c r="E682" s="142"/>
      <c r="F682" s="142"/>
      <c r="G682" s="142"/>
      <c r="H682" s="142"/>
      <c r="J682" s="135"/>
      <c r="X682" s="135"/>
    </row>
    <row r="683" spans="5:24" s="39" customFormat="1">
      <c r="E683" s="142"/>
      <c r="F683" s="142"/>
      <c r="G683" s="142"/>
      <c r="H683" s="142"/>
      <c r="J683" s="135"/>
      <c r="X683" s="135"/>
    </row>
    <row r="684" spans="5:24" s="39" customFormat="1">
      <c r="E684" s="142"/>
      <c r="F684" s="142"/>
      <c r="G684" s="142"/>
      <c r="H684" s="142"/>
      <c r="J684" s="135"/>
      <c r="X684" s="135"/>
    </row>
    <row r="685" spans="5:24" s="39" customFormat="1">
      <c r="E685" s="142"/>
      <c r="F685" s="142"/>
      <c r="G685" s="142"/>
      <c r="H685" s="142"/>
      <c r="J685" s="135"/>
      <c r="X685" s="135"/>
    </row>
    <row r="686" spans="5:24" s="39" customFormat="1">
      <c r="E686" s="142"/>
      <c r="F686" s="142"/>
      <c r="G686" s="142"/>
      <c r="H686" s="142"/>
      <c r="J686" s="135"/>
      <c r="X686" s="135"/>
    </row>
    <row r="687" spans="5:24" s="39" customFormat="1">
      <c r="E687" s="142"/>
      <c r="F687" s="142"/>
      <c r="G687" s="142"/>
      <c r="H687" s="142"/>
      <c r="J687" s="135"/>
      <c r="X687" s="135"/>
    </row>
    <row r="688" spans="5:24" s="39" customFormat="1">
      <c r="E688" s="142"/>
      <c r="F688" s="142"/>
      <c r="G688" s="142"/>
      <c r="H688" s="142"/>
      <c r="J688" s="135"/>
      <c r="X688" s="135"/>
    </row>
    <row r="689" spans="5:24" s="39" customFormat="1">
      <c r="E689" s="142"/>
      <c r="F689" s="142"/>
      <c r="G689" s="142"/>
      <c r="H689" s="142"/>
      <c r="J689" s="135"/>
      <c r="X689" s="135"/>
    </row>
    <row r="690" spans="5:24" s="39" customFormat="1">
      <c r="E690" s="142"/>
      <c r="F690" s="142"/>
      <c r="G690" s="142"/>
      <c r="H690" s="142"/>
      <c r="J690" s="135"/>
      <c r="X690" s="135"/>
    </row>
    <row r="691" spans="5:24" s="39" customFormat="1">
      <c r="E691" s="142"/>
      <c r="F691" s="142"/>
      <c r="G691" s="142"/>
      <c r="H691" s="142"/>
      <c r="J691" s="135"/>
      <c r="X691" s="135"/>
    </row>
    <row r="692" spans="5:24" s="39" customFormat="1">
      <c r="E692" s="142"/>
      <c r="F692" s="142"/>
      <c r="G692" s="142"/>
      <c r="H692" s="142"/>
      <c r="J692" s="135"/>
      <c r="X692" s="135"/>
    </row>
    <row r="693" spans="5:24" s="39" customFormat="1">
      <c r="E693" s="142"/>
      <c r="F693" s="142"/>
      <c r="G693" s="142"/>
      <c r="H693" s="142"/>
      <c r="J693" s="135"/>
      <c r="X693" s="135"/>
    </row>
    <row r="694" spans="5:24" s="39" customFormat="1">
      <c r="E694" s="142"/>
      <c r="F694" s="142"/>
      <c r="G694" s="142"/>
      <c r="H694" s="142"/>
      <c r="J694" s="135"/>
      <c r="X694" s="135"/>
    </row>
    <row r="695" spans="5:24" s="39" customFormat="1">
      <c r="E695" s="142"/>
      <c r="F695" s="142"/>
      <c r="G695" s="142"/>
      <c r="H695" s="142"/>
      <c r="J695" s="135"/>
      <c r="X695" s="135"/>
    </row>
    <row r="696" spans="5:24" s="39" customFormat="1">
      <c r="E696" s="142"/>
      <c r="F696" s="142"/>
      <c r="G696" s="142"/>
      <c r="H696" s="142"/>
      <c r="J696" s="135"/>
      <c r="X696" s="135"/>
    </row>
    <row r="697" spans="5:24" s="39" customFormat="1">
      <c r="E697" s="142"/>
      <c r="F697" s="142"/>
      <c r="G697" s="142"/>
      <c r="H697" s="142"/>
      <c r="J697" s="135"/>
      <c r="X697" s="135"/>
    </row>
    <row r="698" spans="5:24" s="39" customFormat="1">
      <c r="E698" s="142"/>
      <c r="F698" s="142"/>
      <c r="G698" s="142"/>
      <c r="H698" s="142"/>
      <c r="J698" s="135"/>
      <c r="X698" s="135"/>
    </row>
    <row r="699" spans="5:24" s="39" customFormat="1">
      <c r="E699" s="142"/>
      <c r="F699" s="142"/>
      <c r="G699" s="142"/>
      <c r="H699" s="142"/>
      <c r="J699" s="135"/>
      <c r="X699" s="135"/>
    </row>
    <row r="700" spans="5:24" s="39" customFormat="1">
      <c r="E700" s="142"/>
      <c r="F700" s="142"/>
      <c r="G700" s="142"/>
      <c r="H700" s="142"/>
      <c r="J700" s="135"/>
      <c r="X700" s="135"/>
    </row>
    <row r="701" spans="5:24" s="39" customFormat="1">
      <c r="E701" s="142"/>
      <c r="F701" s="142"/>
      <c r="G701" s="142"/>
      <c r="H701" s="142"/>
      <c r="J701" s="135"/>
      <c r="X701" s="135"/>
    </row>
    <row r="702" spans="5:24" s="39" customFormat="1">
      <c r="E702" s="142"/>
      <c r="F702" s="142"/>
      <c r="G702" s="142"/>
      <c r="H702" s="142"/>
      <c r="J702" s="135"/>
      <c r="X702" s="135"/>
    </row>
    <row r="703" spans="5:24" s="39" customFormat="1">
      <c r="E703" s="142"/>
      <c r="F703" s="142"/>
      <c r="G703" s="142"/>
      <c r="H703" s="142"/>
      <c r="J703" s="135"/>
      <c r="X703" s="135"/>
    </row>
    <row r="704" spans="5:24" s="39" customFormat="1">
      <c r="E704" s="142"/>
      <c r="F704" s="142"/>
      <c r="G704" s="142"/>
      <c r="H704" s="142"/>
      <c r="J704" s="135"/>
      <c r="X704" s="135"/>
    </row>
    <row r="705" spans="5:24" s="39" customFormat="1">
      <c r="E705" s="142"/>
      <c r="F705" s="142"/>
      <c r="G705" s="142"/>
      <c r="H705" s="142"/>
      <c r="J705" s="135"/>
      <c r="X705" s="135"/>
    </row>
    <row r="706" spans="5:24" s="39" customFormat="1">
      <c r="E706" s="142"/>
      <c r="F706" s="142"/>
      <c r="G706" s="142"/>
      <c r="H706" s="142"/>
      <c r="J706" s="135"/>
      <c r="X706" s="135"/>
    </row>
    <row r="707" spans="5:24" s="39" customFormat="1">
      <c r="E707" s="142"/>
      <c r="F707" s="142"/>
      <c r="G707" s="142"/>
      <c r="H707" s="142"/>
      <c r="J707" s="135"/>
      <c r="X707" s="135"/>
    </row>
    <row r="708" spans="5:24" s="39" customFormat="1">
      <c r="E708" s="142"/>
      <c r="F708" s="142"/>
      <c r="G708" s="142"/>
      <c r="H708" s="142"/>
      <c r="J708" s="135"/>
      <c r="X708" s="135"/>
    </row>
    <row r="709" spans="5:24" s="39" customFormat="1">
      <c r="E709" s="142"/>
      <c r="F709" s="142"/>
      <c r="G709" s="142"/>
      <c r="H709" s="142"/>
      <c r="J709" s="135"/>
      <c r="X709" s="135"/>
    </row>
    <row r="710" spans="5:24" s="39" customFormat="1">
      <c r="E710" s="142"/>
      <c r="F710" s="142"/>
      <c r="G710" s="142"/>
      <c r="H710" s="142"/>
      <c r="J710" s="135"/>
      <c r="X710" s="135"/>
    </row>
    <row r="711" spans="5:24" s="39" customFormat="1">
      <c r="E711" s="142"/>
      <c r="F711" s="142"/>
      <c r="G711" s="142"/>
      <c r="H711" s="142"/>
      <c r="J711" s="135"/>
      <c r="X711" s="135"/>
    </row>
    <row r="712" spans="5:24" s="39" customFormat="1">
      <c r="E712" s="142"/>
      <c r="F712" s="142"/>
      <c r="G712" s="142"/>
      <c r="H712" s="142"/>
      <c r="J712" s="135"/>
      <c r="X712" s="135"/>
    </row>
    <row r="713" spans="5:24" s="39" customFormat="1">
      <c r="E713" s="142"/>
      <c r="F713" s="142"/>
      <c r="G713" s="142"/>
      <c r="H713" s="142"/>
      <c r="J713" s="135"/>
      <c r="X713" s="135"/>
    </row>
    <row r="714" spans="5:24" s="39" customFormat="1">
      <c r="E714" s="142"/>
      <c r="F714" s="142"/>
      <c r="G714" s="142"/>
      <c r="H714" s="142"/>
      <c r="J714" s="135"/>
      <c r="X714" s="135"/>
    </row>
    <row r="715" spans="5:24" s="39" customFormat="1">
      <c r="E715" s="142"/>
      <c r="F715" s="142"/>
      <c r="G715" s="142"/>
      <c r="H715" s="142"/>
      <c r="J715" s="135"/>
      <c r="X715" s="135"/>
    </row>
    <row r="716" spans="5:24" s="39" customFormat="1">
      <c r="E716" s="142"/>
      <c r="F716" s="142"/>
      <c r="G716" s="142"/>
      <c r="H716" s="142"/>
      <c r="J716" s="135"/>
      <c r="X716" s="135"/>
    </row>
    <row r="717" spans="5:24" s="39" customFormat="1">
      <c r="E717" s="142"/>
      <c r="F717" s="142"/>
      <c r="G717" s="142"/>
      <c r="H717" s="142"/>
      <c r="J717" s="135"/>
      <c r="X717" s="135"/>
    </row>
    <row r="718" spans="5:24" s="39" customFormat="1">
      <c r="E718" s="142"/>
      <c r="F718" s="142"/>
      <c r="G718" s="142"/>
      <c r="H718" s="142"/>
      <c r="J718" s="135"/>
      <c r="X718" s="135"/>
    </row>
    <row r="719" spans="5:24" s="39" customFormat="1">
      <c r="E719" s="142"/>
      <c r="F719" s="142"/>
      <c r="G719" s="142"/>
      <c r="H719" s="142"/>
      <c r="J719" s="135"/>
      <c r="X719" s="135"/>
    </row>
    <row r="720" spans="5:24" s="39" customFormat="1">
      <c r="E720" s="142"/>
      <c r="F720" s="142"/>
      <c r="G720" s="142"/>
      <c r="H720" s="142"/>
      <c r="J720" s="135"/>
      <c r="X720" s="135"/>
    </row>
    <row r="721" spans="5:24" s="39" customFormat="1">
      <c r="E721" s="142"/>
      <c r="F721" s="142"/>
      <c r="G721" s="142"/>
      <c r="H721" s="142"/>
      <c r="J721" s="135"/>
      <c r="X721" s="135"/>
    </row>
    <row r="722" spans="5:24" s="39" customFormat="1">
      <c r="E722" s="142"/>
      <c r="F722" s="142"/>
      <c r="G722" s="142"/>
      <c r="H722" s="142"/>
      <c r="J722" s="135"/>
      <c r="X722" s="135"/>
    </row>
    <row r="723" spans="5:24" s="39" customFormat="1">
      <c r="E723" s="142"/>
      <c r="F723" s="142"/>
      <c r="G723" s="142"/>
      <c r="H723" s="142"/>
      <c r="J723" s="135"/>
      <c r="X723" s="135"/>
    </row>
    <row r="724" spans="5:24" s="39" customFormat="1">
      <c r="E724" s="142"/>
      <c r="F724" s="142"/>
      <c r="G724" s="142"/>
      <c r="H724" s="142"/>
      <c r="J724" s="135"/>
      <c r="X724" s="135"/>
    </row>
    <row r="725" spans="5:24" s="39" customFormat="1">
      <c r="E725" s="142"/>
      <c r="F725" s="142"/>
      <c r="G725" s="142"/>
      <c r="H725" s="142"/>
      <c r="J725" s="135"/>
      <c r="X725" s="135"/>
    </row>
    <row r="726" spans="5:24" s="39" customFormat="1">
      <c r="E726" s="142"/>
      <c r="F726" s="142"/>
      <c r="G726" s="142"/>
      <c r="H726" s="142"/>
      <c r="J726" s="135"/>
      <c r="X726" s="135"/>
    </row>
    <row r="727" spans="5:24" s="39" customFormat="1">
      <c r="E727" s="142"/>
      <c r="F727" s="142"/>
      <c r="G727" s="142"/>
      <c r="H727" s="142"/>
      <c r="J727" s="135"/>
      <c r="X727" s="135"/>
    </row>
    <row r="728" spans="5:24" s="39" customFormat="1">
      <c r="E728" s="142"/>
      <c r="F728" s="142"/>
      <c r="G728" s="142"/>
      <c r="H728" s="142"/>
      <c r="J728" s="135"/>
      <c r="X728" s="135"/>
    </row>
    <row r="729" spans="5:24" s="39" customFormat="1">
      <c r="E729" s="142"/>
      <c r="F729" s="142"/>
      <c r="G729" s="142"/>
      <c r="H729" s="142"/>
      <c r="J729" s="135"/>
      <c r="X729" s="135"/>
    </row>
    <row r="730" spans="5:24" s="39" customFormat="1">
      <c r="E730" s="142"/>
      <c r="F730" s="142"/>
      <c r="G730" s="142"/>
      <c r="H730" s="142"/>
      <c r="J730" s="135"/>
      <c r="X730" s="135"/>
    </row>
    <row r="731" spans="5:24" s="39" customFormat="1">
      <c r="E731" s="142"/>
      <c r="F731" s="142"/>
      <c r="G731" s="142"/>
      <c r="H731" s="142"/>
      <c r="J731" s="135"/>
      <c r="X731" s="135"/>
    </row>
    <row r="732" spans="5:24" s="39" customFormat="1">
      <c r="E732" s="142"/>
      <c r="F732" s="142"/>
      <c r="G732" s="142"/>
      <c r="H732" s="142"/>
      <c r="J732" s="135"/>
      <c r="X732" s="135"/>
    </row>
    <row r="733" spans="5:24" s="39" customFormat="1">
      <c r="E733" s="142"/>
      <c r="F733" s="142"/>
      <c r="G733" s="142"/>
      <c r="H733" s="142"/>
      <c r="J733" s="135"/>
      <c r="X733" s="135"/>
    </row>
    <row r="734" spans="5:24" s="39" customFormat="1">
      <c r="E734" s="142"/>
      <c r="F734" s="142"/>
      <c r="G734" s="142"/>
      <c r="H734" s="142"/>
      <c r="J734" s="135"/>
      <c r="X734" s="135"/>
    </row>
    <row r="735" spans="5:24" s="39" customFormat="1">
      <c r="E735" s="142"/>
      <c r="F735" s="142"/>
      <c r="G735" s="142"/>
      <c r="H735" s="142"/>
      <c r="J735" s="135"/>
      <c r="X735" s="135"/>
    </row>
    <row r="736" spans="5:24" s="39" customFormat="1">
      <c r="E736" s="142"/>
      <c r="F736" s="142"/>
      <c r="G736" s="142"/>
      <c r="H736" s="142"/>
      <c r="J736" s="135"/>
      <c r="X736" s="135"/>
    </row>
    <row r="737" spans="5:24" s="39" customFormat="1">
      <c r="E737" s="142"/>
      <c r="F737" s="142"/>
      <c r="G737" s="142"/>
      <c r="H737" s="142"/>
      <c r="J737" s="135"/>
      <c r="X737" s="135"/>
    </row>
    <row r="738" spans="5:24" s="39" customFormat="1">
      <c r="E738" s="142"/>
      <c r="F738" s="142"/>
      <c r="G738" s="142"/>
      <c r="H738" s="142"/>
      <c r="J738" s="135"/>
      <c r="X738" s="135"/>
    </row>
    <row r="739" spans="5:24" s="39" customFormat="1">
      <c r="E739" s="142"/>
      <c r="F739" s="142"/>
      <c r="G739" s="142"/>
      <c r="H739" s="142"/>
      <c r="J739" s="135"/>
      <c r="X739" s="135"/>
    </row>
    <row r="740" spans="5:24" s="39" customFormat="1">
      <c r="E740" s="142"/>
      <c r="F740" s="142"/>
      <c r="G740" s="142"/>
      <c r="H740" s="142"/>
      <c r="J740" s="135"/>
      <c r="X740" s="135"/>
    </row>
    <row r="741" spans="5:24" s="39" customFormat="1">
      <c r="E741" s="142"/>
      <c r="F741" s="142"/>
      <c r="G741" s="142"/>
      <c r="H741" s="142"/>
      <c r="J741" s="135"/>
      <c r="X741" s="135"/>
    </row>
    <row r="742" spans="5:24" s="39" customFormat="1">
      <c r="E742" s="142"/>
      <c r="F742" s="142"/>
      <c r="G742" s="142"/>
      <c r="H742" s="142"/>
      <c r="J742" s="135"/>
      <c r="X742" s="135"/>
    </row>
    <row r="743" spans="5:24" s="39" customFormat="1">
      <c r="E743" s="142"/>
      <c r="F743" s="142"/>
      <c r="G743" s="142"/>
      <c r="H743" s="142"/>
      <c r="J743" s="135"/>
      <c r="X743" s="135"/>
    </row>
    <row r="744" spans="5:24" s="39" customFormat="1">
      <c r="E744" s="142"/>
      <c r="F744" s="142"/>
      <c r="G744" s="142"/>
      <c r="H744" s="142"/>
      <c r="J744" s="135"/>
      <c r="X744" s="135"/>
    </row>
    <row r="745" spans="5:24" s="39" customFormat="1">
      <c r="E745" s="142"/>
      <c r="F745" s="142"/>
      <c r="G745" s="142"/>
      <c r="H745" s="142"/>
      <c r="J745" s="135"/>
      <c r="X745" s="135"/>
    </row>
    <row r="746" spans="5:24" s="39" customFormat="1">
      <c r="E746" s="142"/>
      <c r="F746" s="142"/>
      <c r="G746" s="142"/>
      <c r="H746" s="142"/>
      <c r="J746" s="135"/>
      <c r="X746" s="135"/>
    </row>
    <row r="747" spans="5:24" s="39" customFormat="1">
      <c r="E747" s="142"/>
      <c r="F747" s="142"/>
      <c r="G747" s="142"/>
      <c r="H747" s="142"/>
      <c r="J747" s="135"/>
      <c r="X747" s="135"/>
    </row>
    <row r="748" spans="5:24" s="39" customFormat="1">
      <c r="E748" s="142"/>
      <c r="F748" s="142"/>
      <c r="G748" s="142"/>
      <c r="H748" s="142"/>
      <c r="J748" s="135"/>
      <c r="X748" s="135"/>
    </row>
    <row r="749" spans="5:24" s="39" customFormat="1">
      <c r="E749" s="142"/>
      <c r="F749" s="142"/>
      <c r="G749" s="142"/>
      <c r="H749" s="142"/>
      <c r="J749" s="135"/>
      <c r="X749" s="135"/>
    </row>
    <row r="750" spans="5:24" s="39" customFormat="1">
      <c r="E750" s="142"/>
      <c r="F750" s="142"/>
      <c r="G750" s="142"/>
      <c r="H750" s="142"/>
      <c r="J750" s="135"/>
      <c r="X750" s="135"/>
    </row>
    <row r="751" spans="5:24" s="39" customFormat="1">
      <c r="E751" s="142"/>
      <c r="F751" s="142"/>
      <c r="G751" s="142"/>
      <c r="H751" s="142"/>
      <c r="J751" s="135"/>
      <c r="X751" s="135"/>
    </row>
    <row r="752" spans="5:24" s="39" customFormat="1">
      <c r="E752" s="142"/>
      <c r="F752" s="142"/>
      <c r="G752" s="142"/>
      <c r="H752" s="142"/>
      <c r="J752" s="135"/>
      <c r="X752" s="135"/>
    </row>
    <row r="753" spans="5:24" s="39" customFormat="1">
      <c r="E753" s="142"/>
      <c r="F753" s="142"/>
      <c r="G753" s="142"/>
      <c r="H753" s="142"/>
      <c r="J753" s="135"/>
      <c r="X753" s="135"/>
    </row>
    <row r="754" spans="5:24" s="39" customFormat="1">
      <c r="E754" s="142"/>
      <c r="F754" s="142"/>
      <c r="G754" s="142"/>
      <c r="H754" s="142"/>
      <c r="J754" s="135"/>
      <c r="X754" s="135"/>
    </row>
    <row r="755" spans="5:24" s="39" customFormat="1">
      <c r="E755" s="142"/>
      <c r="F755" s="142"/>
      <c r="G755" s="142"/>
      <c r="H755" s="142"/>
      <c r="J755" s="135"/>
      <c r="X755" s="135"/>
    </row>
    <row r="756" spans="5:24" s="39" customFormat="1">
      <c r="E756" s="142"/>
      <c r="F756" s="142"/>
      <c r="G756" s="142"/>
      <c r="H756" s="142"/>
      <c r="J756" s="135"/>
      <c r="X756" s="135"/>
    </row>
    <row r="757" spans="5:24" s="39" customFormat="1">
      <c r="E757" s="142"/>
      <c r="F757" s="142"/>
      <c r="G757" s="142"/>
      <c r="H757" s="142"/>
      <c r="J757" s="135"/>
      <c r="X757" s="135"/>
    </row>
    <row r="758" spans="5:24" s="39" customFormat="1">
      <c r="E758" s="142"/>
      <c r="F758" s="142"/>
      <c r="G758" s="142"/>
      <c r="H758" s="142"/>
      <c r="J758" s="135"/>
      <c r="X758" s="135"/>
    </row>
    <row r="759" spans="5:24" s="39" customFormat="1">
      <c r="E759" s="142"/>
      <c r="F759" s="142"/>
      <c r="G759" s="142"/>
      <c r="H759" s="142"/>
      <c r="J759" s="135"/>
      <c r="X759" s="135"/>
    </row>
    <row r="760" spans="5:24" s="39" customFormat="1">
      <c r="E760" s="142"/>
      <c r="F760" s="142"/>
      <c r="G760" s="142"/>
      <c r="H760" s="142"/>
      <c r="J760" s="135"/>
      <c r="X760" s="135"/>
    </row>
    <row r="761" spans="5:24" s="39" customFormat="1">
      <c r="E761" s="142"/>
      <c r="F761" s="142"/>
      <c r="G761" s="142"/>
      <c r="H761" s="142"/>
      <c r="J761" s="135"/>
      <c r="X761" s="135"/>
    </row>
    <row r="762" spans="5:24" s="39" customFormat="1">
      <c r="E762" s="142"/>
      <c r="F762" s="142"/>
      <c r="G762" s="142"/>
      <c r="H762" s="142"/>
      <c r="J762" s="135"/>
      <c r="X762" s="135"/>
    </row>
    <row r="763" spans="5:24" s="39" customFormat="1">
      <c r="E763" s="142"/>
      <c r="F763" s="142"/>
      <c r="G763" s="142"/>
      <c r="H763" s="142"/>
      <c r="J763" s="135"/>
      <c r="X763" s="135"/>
    </row>
    <row r="764" spans="5:24" s="39" customFormat="1">
      <c r="E764" s="142"/>
      <c r="F764" s="142"/>
      <c r="G764" s="142"/>
      <c r="H764" s="142"/>
      <c r="J764" s="135"/>
      <c r="X764" s="135"/>
    </row>
    <row r="765" spans="5:24" s="39" customFormat="1">
      <c r="E765" s="142"/>
      <c r="F765" s="142"/>
      <c r="G765" s="142"/>
      <c r="H765" s="142"/>
      <c r="J765" s="135"/>
      <c r="X765" s="135"/>
    </row>
    <row r="766" spans="5:24" s="39" customFormat="1">
      <c r="E766" s="142"/>
      <c r="F766" s="142"/>
      <c r="G766" s="142"/>
      <c r="H766" s="142"/>
      <c r="J766" s="135"/>
      <c r="X766" s="135"/>
    </row>
    <row r="767" spans="5:24" s="39" customFormat="1">
      <c r="E767" s="142"/>
      <c r="F767" s="142"/>
      <c r="G767" s="142"/>
      <c r="H767" s="142"/>
      <c r="J767" s="135"/>
      <c r="X767" s="135"/>
    </row>
    <row r="768" spans="5:24" s="39" customFormat="1">
      <c r="E768" s="142"/>
      <c r="F768" s="142"/>
      <c r="G768" s="142"/>
      <c r="H768" s="142"/>
      <c r="J768" s="135"/>
      <c r="X768" s="135"/>
    </row>
    <row r="769" spans="5:24" s="39" customFormat="1">
      <c r="E769" s="142"/>
      <c r="F769" s="142"/>
      <c r="G769" s="142"/>
      <c r="H769" s="142"/>
      <c r="J769" s="135"/>
      <c r="X769" s="135"/>
    </row>
    <row r="770" spans="5:24" s="39" customFormat="1">
      <c r="E770" s="142"/>
      <c r="F770" s="142"/>
      <c r="G770" s="142"/>
      <c r="H770" s="142"/>
      <c r="J770" s="135"/>
      <c r="X770" s="135"/>
    </row>
    <row r="771" spans="5:24" s="39" customFormat="1">
      <c r="E771" s="142"/>
      <c r="F771" s="142"/>
      <c r="G771" s="142"/>
      <c r="H771" s="142"/>
      <c r="J771" s="135"/>
      <c r="X771" s="135"/>
    </row>
    <row r="772" spans="5:24" s="39" customFormat="1">
      <c r="E772" s="142"/>
      <c r="F772" s="142"/>
      <c r="G772" s="142"/>
      <c r="H772" s="142"/>
      <c r="J772" s="135"/>
      <c r="X772" s="135"/>
    </row>
    <row r="773" spans="5:24" s="39" customFormat="1">
      <c r="E773" s="142"/>
      <c r="F773" s="142"/>
      <c r="G773" s="142"/>
      <c r="H773" s="142"/>
      <c r="J773" s="135"/>
      <c r="X773" s="135"/>
    </row>
    <row r="774" spans="5:24" s="39" customFormat="1">
      <c r="E774" s="142"/>
      <c r="F774" s="142"/>
      <c r="G774" s="142"/>
      <c r="H774" s="142"/>
      <c r="J774" s="135"/>
      <c r="X774" s="135"/>
    </row>
    <row r="775" spans="5:24" s="39" customFormat="1">
      <c r="E775" s="142"/>
      <c r="F775" s="142"/>
      <c r="G775" s="142"/>
      <c r="H775" s="142"/>
      <c r="J775" s="135"/>
      <c r="X775" s="135"/>
    </row>
    <row r="776" spans="5:24" s="39" customFormat="1">
      <c r="E776" s="142"/>
      <c r="F776" s="142"/>
      <c r="G776" s="142"/>
      <c r="H776" s="142"/>
      <c r="J776" s="135"/>
      <c r="X776" s="135"/>
    </row>
    <row r="777" spans="5:24" s="39" customFormat="1">
      <c r="E777" s="142"/>
      <c r="F777" s="142"/>
      <c r="G777" s="142"/>
      <c r="H777" s="142"/>
      <c r="J777" s="135"/>
      <c r="X777" s="135"/>
    </row>
    <row r="778" spans="5:24" s="39" customFormat="1">
      <c r="E778" s="142"/>
      <c r="F778" s="142"/>
      <c r="G778" s="142"/>
      <c r="H778" s="142"/>
      <c r="J778" s="135"/>
      <c r="X778" s="135"/>
    </row>
    <row r="779" spans="5:24" s="39" customFormat="1">
      <c r="E779" s="142"/>
      <c r="F779" s="142"/>
      <c r="G779" s="142"/>
      <c r="H779" s="142"/>
      <c r="J779" s="135"/>
      <c r="X779" s="135"/>
    </row>
    <row r="780" spans="5:24" s="39" customFormat="1">
      <c r="E780" s="142"/>
      <c r="F780" s="142"/>
      <c r="G780" s="142"/>
      <c r="H780" s="142"/>
      <c r="J780" s="135"/>
      <c r="X780" s="135"/>
    </row>
    <row r="781" spans="5:24" s="39" customFormat="1">
      <c r="E781" s="142"/>
      <c r="F781" s="142"/>
      <c r="G781" s="142"/>
      <c r="H781" s="142"/>
      <c r="J781" s="135"/>
      <c r="X781" s="135"/>
    </row>
    <row r="782" spans="5:24" s="39" customFormat="1">
      <c r="E782" s="142"/>
      <c r="F782" s="142"/>
      <c r="G782" s="142"/>
      <c r="H782" s="142"/>
      <c r="J782" s="135"/>
      <c r="X782" s="135"/>
    </row>
    <row r="783" spans="5:24" s="39" customFormat="1">
      <c r="E783" s="142"/>
      <c r="F783" s="142"/>
      <c r="G783" s="142"/>
      <c r="H783" s="142"/>
      <c r="J783" s="135"/>
      <c r="X783" s="135"/>
    </row>
    <row r="784" spans="5:24" s="39" customFormat="1">
      <c r="E784" s="142"/>
      <c r="F784" s="142"/>
      <c r="G784" s="142"/>
      <c r="H784" s="142"/>
      <c r="J784" s="135"/>
      <c r="X784" s="135"/>
    </row>
    <row r="785" spans="5:24" s="39" customFormat="1">
      <c r="E785" s="142"/>
      <c r="F785" s="142"/>
      <c r="G785" s="142"/>
      <c r="H785" s="142"/>
      <c r="J785" s="135"/>
      <c r="X785" s="135"/>
    </row>
    <row r="786" spans="5:24" s="39" customFormat="1">
      <c r="E786" s="142"/>
      <c r="F786" s="142"/>
      <c r="G786" s="142"/>
      <c r="H786" s="142"/>
      <c r="J786" s="135"/>
      <c r="X786" s="135"/>
    </row>
    <row r="787" spans="5:24" s="39" customFormat="1">
      <c r="E787" s="142"/>
      <c r="F787" s="142"/>
      <c r="G787" s="142"/>
      <c r="H787" s="142"/>
      <c r="J787" s="135"/>
      <c r="X787" s="135"/>
    </row>
    <row r="788" spans="5:24" s="39" customFormat="1">
      <c r="E788" s="142"/>
      <c r="F788" s="142"/>
      <c r="G788" s="142"/>
      <c r="H788" s="142"/>
      <c r="J788" s="135"/>
      <c r="X788" s="135"/>
    </row>
    <row r="789" spans="5:24" s="39" customFormat="1">
      <c r="E789" s="142"/>
      <c r="F789" s="142"/>
      <c r="G789" s="142"/>
      <c r="H789" s="142"/>
      <c r="J789" s="135"/>
      <c r="X789" s="135"/>
    </row>
    <row r="790" spans="5:24" s="39" customFormat="1">
      <c r="E790" s="142"/>
      <c r="F790" s="142"/>
      <c r="G790" s="142"/>
      <c r="H790" s="142"/>
      <c r="J790" s="135"/>
      <c r="X790" s="135"/>
    </row>
    <row r="791" spans="5:24" s="39" customFormat="1">
      <c r="E791" s="142"/>
      <c r="F791" s="142"/>
      <c r="G791" s="142"/>
      <c r="H791" s="142"/>
      <c r="J791" s="135"/>
      <c r="X791" s="135"/>
    </row>
    <row r="792" spans="5:24" s="39" customFormat="1">
      <c r="E792" s="142"/>
      <c r="F792" s="142"/>
      <c r="G792" s="142"/>
      <c r="H792" s="142"/>
      <c r="J792" s="135"/>
      <c r="X792" s="135"/>
    </row>
    <row r="793" spans="5:24" s="39" customFormat="1">
      <c r="E793" s="142"/>
      <c r="F793" s="142"/>
      <c r="G793" s="142"/>
      <c r="H793" s="142"/>
      <c r="J793" s="135"/>
      <c r="X793" s="135"/>
    </row>
    <row r="794" spans="5:24" s="39" customFormat="1">
      <c r="E794" s="142"/>
      <c r="F794" s="142"/>
      <c r="G794" s="142"/>
      <c r="H794" s="142"/>
      <c r="J794" s="135"/>
      <c r="X794" s="135"/>
    </row>
    <row r="795" spans="5:24" s="39" customFormat="1">
      <c r="E795" s="142"/>
      <c r="F795" s="142"/>
      <c r="G795" s="142"/>
      <c r="H795" s="142"/>
      <c r="J795" s="135"/>
      <c r="X795" s="135"/>
    </row>
    <row r="796" spans="5:24" s="39" customFormat="1">
      <c r="E796" s="142"/>
      <c r="F796" s="142"/>
      <c r="G796" s="142"/>
      <c r="H796" s="142"/>
      <c r="J796" s="135"/>
      <c r="X796" s="135"/>
    </row>
    <row r="797" spans="5:24" s="39" customFormat="1">
      <c r="E797" s="142"/>
      <c r="F797" s="142"/>
      <c r="G797" s="142"/>
      <c r="H797" s="142"/>
      <c r="J797" s="135"/>
      <c r="X797" s="135"/>
    </row>
    <row r="798" spans="5:24" s="39" customFormat="1">
      <c r="E798" s="142"/>
      <c r="F798" s="142"/>
      <c r="G798" s="142"/>
      <c r="H798" s="142"/>
      <c r="J798" s="135"/>
      <c r="X798" s="135"/>
    </row>
    <row r="799" spans="5:24" s="39" customFormat="1">
      <c r="E799" s="142"/>
      <c r="F799" s="142"/>
      <c r="G799" s="142"/>
      <c r="H799" s="142"/>
      <c r="J799" s="135"/>
      <c r="X799" s="135"/>
    </row>
    <row r="800" spans="5:24" s="39" customFormat="1">
      <c r="E800" s="142"/>
      <c r="F800" s="142"/>
      <c r="G800" s="142"/>
      <c r="H800" s="142"/>
      <c r="J800" s="135"/>
      <c r="X800" s="135"/>
    </row>
    <row r="801" spans="5:24" s="39" customFormat="1">
      <c r="E801" s="142"/>
      <c r="F801" s="142"/>
      <c r="G801" s="142"/>
      <c r="H801" s="142"/>
      <c r="J801" s="135"/>
      <c r="X801" s="135"/>
    </row>
    <row r="802" spans="5:24" s="39" customFormat="1">
      <c r="E802" s="142"/>
      <c r="F802" s="142"/>
      <c r="G802" s="142"/>
      <c r="H802" s="142"/>
      <c r="J802" s="135"/>
      <c r="X802" s="135"/>
    </row>
    <row r="803" spans="5:24" s="39" customFormat="1">
      <c r="E803" s="142"/>
      <c r="F803" s="142"/>
      <c r="G803" s="142"/>
      <c r="H803" s="142"/>
      <c r="J803" s="135"/>
      <c r="X803" s="135"/>
    </row>
    <row r="804" spans="5:24" s="39" customFormat="1">
      <c r="E804" s="142"/>
      <c r="F804" s="142"/>
      <c r="G804" s="142"/>
      <c r="H804" s="142"/>
      <c r="J804" s="135"/>
      <c r="X804" s="135"/>
    </row>
    <row r="805" spans="5:24" s="39" customFormat="1">
      <c r="E805" s="142"/>
      <c r="F805" s="142"/>
      <c r="G805" s="142"/>
      <c r="H805" s="142"/>
      <c r="J805" s="135"/>
      <c r="X805" s="135"/>
    </row>
    <row r="806" spans="5:24" s="39" customFormat="1">
      <c r="E806" s="142"/>
      <c r="F806" s="142"/>
      <c r="G806" s="142"/>
      <c r="H806" s="142"/>
      <c r="J806" s="135"/>
      <c r="X806" s="135"/>
    </row>
    <row r="807" spans="5:24" s="39" customFormat="1">
      <c r="E807" s="142"/>
      <c r="F807" s="142"/>
      <c r="G807" s="142"/>
      <c r="H807" s="142"/>
      <c r="J807" s="135"/>
      <c r="X807" s="135"/>
    </row>
    <row r="808" spans="5:24" s="39" customFormat="1">
      <c r="E808" s="142"/>
      <c r="F808" s="142"/>
      <c r="G808" s="142"/>
      <c r="H808" s="142"/>
      <c r="J808" s="135"/>
      <c r="X808" s="135"/>
    </row>
    <row r="809" spans="5:24" s="39" customFormat="1">
      <c r="E809" s="142"/>
      <c r="F809" s="142"/>
      <c r="G809" s="142"/>
      <c r="H809" s="142"/>
      <c r="J809" s="135"/>
      <c r="X809" s="135"/>
    </row>
    <row r="810" spans="5:24" s="39" customFormat="1">
      <c r="E810" s="142"/>
      <c r="F810" s="142"/>
      <c r="G810" s="142"/>
      <c r="H810" s="142"/>
      <c r="J810" s="135"/>
      <c r="X810" s="135"/>
    </row>
    <row r="811" spans="5:24" s="39" customFormat="1">
      <c r="E811" s="142"/>
      <c r="F811" s="142"/>
      <c r="G811" s="142"/>
      <c r="H811" s="142"/>
      <c r="J811" s="135"/>
      <c r="X811" s="135"/>
    </row>
    <row r="812" spans="5:24" s="39" customFormat="1">
      <c r="E812" s="142"/>
      <c r="F812" s="142"/>
      <c r="G812" s="142"/>
      <c r="H812" s="142"/>
      <c r="J812" s="135"/>
      <c r="X812" s="135"/>
    </row>
    <row r="813" spans="5:24" s="39" customFormat="1">
      <c r="E813" s="142"/>
      <c r="F813" s="142"/>
      <c r="G813" s="142"/>
      <c r="H813" s="142"/>
      <c r="J813" s="135"/>
      <c r="X813" s="135"/>
    </row>
    <row r="814" spans="5:24" s="39" customFormat="1">
      <c r="E814" s="142"/>
      <c r="F814" s="142"/>
      <c r="G814" s="142"/>
      <c r="H814" s="142"/>
      <c r="J814" s="135"/>
      <c r="X814" s="135"/>
    </row>
    <row r="815" spans="5:24" s="39" customFormat="1">
      <c r="E815" s="142"/>
      <c r="F815" s="142"/>
      <c r="G815" s="142"/>
      <c r="H815" s="142"/>
      <c r="J815" s="135"/>
      <c r="X815" s="135"/>
    </row>
    <row r="816" spans="5:24" s="39" customFormat="1">
      <c r="E816" s="142"/>
      <c r="F816" s="142"/>
      <c r="G816" s="142"/>
      <c r="H816" s="142"/>
      <c r="J816" s="135"/>
      <c r="X816" s="135"/>
    </row>
    <row r="817" spans="5:24" s="39" customFormat="1">
      <c r="E817" s="142"/>
      <c r="F817" s="142"/>
      <c r="G817" s="142"/>
      <c r="H817" s="142"/>
      <c r="J817" s="135"/>
      <c r="X817" s="135"/>
    </row>
    <row r="818" spans="5:24" s="39" customFormat="1">
      <c r="E818" s="142"/>
      <c r="F818" s="142"/>
      <c r="G818" s="142"/>
      <c r="H818" s="142"/>
      <c r="J818" s="135"/>
      <c r="X818" s="135"/>
    </row>
    <row r="819" spans="5:24" s="39" customFormat="1">
      <c r="E819" s="142"/>
      <c r="F819" s="142"/>
      <c r="G819" s="142"/>
      <c r="H819" s="142"/>
      <c r="J819" s="135"/>
      <c r="X819" s="135"/>
    </row>
    <row r="820" spans="5:24" s="39" customFormat="1">
      <c r="E820" s="142"/>
      <c r="F820" s="142"/>
      <c r="G820" s="142"/>
      <c r="H820" s="142"/>
      <c r="J820" s="135"/>
      <c r="X820" s="135"/>
    </row>
    <row r="821" spans="5:24" s="39" customFormat="1">
      <c r="E821" s="142"/>
      <c r="F821" s="142"/>
      <c r="G821" s="142"/>
      <c r="H821" s="142"/>
      <c r="J821" s="135"/>
      <c r="X821" s="135"/>
    </row>
    <row r="822" spans="5:24" s="39" customFormat="1">
      <c r="E822" s="142"/>
      <c r="F822" s="142"/>
      <c r="G822" s="142"/>
      <c r="H822" s="142"/>
      <c r="J822" s="135"/>
      <c r="X822" s="135"/>
    </row>
    <row r="823" spans="5:24" s="39" customFormat="1">
      <c r="E823" s="142"/>
      <c r="F823" s="142"/>
      <c r="G823" s="142"/>
      <c r="H823" s="142"/>
      <c r="J823" s="135"/>
      <c r="X823" s="135"/>
    </row>
    <row r="824" spans="5:24" s="39" customFormat="1">
      <c r="E824" s="142"/>
      <c r="F824" s="142"/>
      <c r="G824" s="142"/>
      <c r="H824" s="142"/>
      <c r="J824" s="135"/>
      <c r="X824" s="135"/>
    </row>
    <row r="825" spans="5:24" s="39" customFormat="1">
      <c r="E825" s="142"/>
      <c r="F825" s="142"/>
      <c r="G825" s="142"/>
      <c r="H825" s="142"/>
      <c r="J825" s="135"/>
      <c r="X825" s="135"/>
    </row>
    <row r="826" spans="5:24" s="39" customFormat="1">
      <c r="E826" s="142"/>
      <c r="F826" s="142"/>
      <c r="G826" s="142"/>
      <c r="H826" s="142"/>
      <c r="J826" s="135"/>
      <c r="X826" s="135"/>
    </row>
    <row r="827" spans="5:24" s="39" customFormat="1">
      <c r="E827" s="142"/>
      <c r="F827" s="142"/>
      <c r="G827" s="142"/>
      <c r="H827" s="142"/>
      <c r="J827" s="135"/>
      <c r="X827" s="135"/>
    </row>
    <row r="828" spans="5:24" s="39" customFormat="1">
      <c r="E828" s="142"/>
      <c r="F828" s="142"/>
      <c r="G828" s="142"/>
      <c r="H828" s="142"/>
      <c r="J828" s="135"/>
      <c r="X828" s="135"/>
    </row>
    <row r="829" spans="5:24" s="39" customFormat="1">
      <c r="E829" s="142"/>
      <c r="F829" s="142"/>
      <c r="G829" s="142"/>
      <c r="H829" s="142"/>
      <c r="J829" s="135"/>
      <c r="X829" s="135"/>
    </row>
    <row r="830" spans="5:24" s="39" customFormat="1">
      <c r="E830" s="142"/>
      <c r="F830" s="142"/>
      <c r="G830" s="142"/>
      <c r="H830" s="142"/>
      <c r="J830" s="135"/>
      <c r="X830" s="135"/>
    </row>
    <row r="831" spans="5:24" s="39" customFormat="1">
      <c r="E831" s="142"/>
      <c r="F831" s="142"/>
      <c r="G831" s="142"/>
      <c r="H831" s="142"/>
      <c r="J831" s="135"/>
      <c r="X831" s="135"/>
    </row>
    <row r="832" spans="5:24" s="39" customFormat="1">
      <c r="E832" s="142"/>
      <c r="F832" s="142"/>
      <c r="G832" s="142"/>
      <c r="H832" s="142"/>
      <c r="J832" s="135"/>
      <c r="X832" s="135"/>
    </row>
    <row r="833" spans="5:24" s="39" customFormat="1">
      <c r="E833" s="142"/>
      <c r="F833" s="142"/>
      <c r="G833" s="142"/>
      <c r="H833" s="142"/>
      <c r="J833" s="135"/>
      <c r="X833" s="135"/>
    </row>
    <row r="834" spans="5:24" s="39" customFormat="1">
      <c r="E834" s="142"/>
      <c r="F834" s="142"/>
      <c r="G834" s="142"/>
      <c r="H834" s="142"/>
      <c r="J834" s="135"/>
      <c r="X834" s="135"/>
    </row>
    <row r="835" spans="5:24" s="39" customFormat="1">
      <c r="E835" s="142"/>
      <c r="F835" s="142"/>
      <c r="G835" s="142"/>
      <c r="H835" s="142"/>
      <c r="J835" s="135"/>
      <c r="X835" s="135"/>
    </row>
    <row r="836" spans="5:24" s="39" customFormat="1">
      <c r="E836" s="142"/>
      <c r="F836" s="142"/>
      <c r="G836" s="142"/>
      <c r="H836" s="142"/>
      <c r="J836" s="135"/>
      <c r="X836" s="135"/>
    </row>
    <row r="837" spans="5:24" s="39" customFormat="1">
      <c r="E837" s="142"/>
      <c r="F837" s="142"/>
      <c r="G837" s="142"/>
      <c r="H837" s="142"/>
      <c r="J837" s="135"/>
      <c r="X837" s="135"/>
    </row>
    <row r="838" spans="5:24" s="39" customFormat="1">
      <c r="E838" s="142"/>
      <c r="F838" s="142"/>
      <c r="G838" s="142"/>
      <c r="H838" s="142"/>
      <c r="J838" s="135"/>
      <c r="X838" s="135"/>
    </row>
    <row r="839" spans="5:24" s="39" customFormat="1">
      <c r="E839" s="142"/>
      <c r="F839" s="142"/>
      <c r="G839" s="142"/>
      <c r="H839" s="142"/>
      <c r="J839" s="135"/>
      <c r="X839" s="135"/>
    </row>
    <row r="840" spans="5:24" s="39" customFormat="1">
      <c r="E840" s="142"/>
      <c r="F840" s="142"/>
      <c r="G840" s="142"/>
      <c r="H840" s="142"/>
      <c r="J840" s="135"/>
      <c r="X840" s="135"/>
    </row>
    <row r="841" spans="5:24" s="39" customFormat="1">
      <c r="E841" s="142"/>
      <c r="F841" s="142"/>
      <c r="G841" s="142"/>
      <c r="H841" s="142"/>
      <c r="J841" s="135"/>
      <c r="X841" s="135"/>
    </row>
    <row r="842" spans="5:24" s="39" customFormat="1">
      <c r="E842" s="142"/>
      <c r="F842" s="142"/>
      <c r="G842" s="142"/>
      <c r="H842" s="142"/>
      <c r="J842" s="135"/>
      <c r="X842" s="135"/>
    </row>
    <row r="843" spans="5:24" s="39" customFormat="1">
      <c r="E843" s="142"/>
      <c r="F843" s="142"/>
      <c r="G843" s="142"/>
      <c r="H843" s="142"/>
      <c r="J843" s="135"/>
      <c r="X843" s="135"/>
    </row>
    <row r="844" spans="5:24" s="39" customFormat="1">
      <c r="E844" s="142"/>
      <c r="F844" s="142"/>
      <c r="G844" s="142"/>
      <c r="H844" s="142"/>
      <c r="J844" s="135"/>
      <c r="X844" s="135"/>
    </row>
    <row r="845" spans="5:24" s="39" customFormat="1">
      <c r="E845" s="142"/>
      <c r="F845" s="142"/>
      <c r="G845" s="142"/>
      <c r="H845" s="142"/>
      <c r="J845" s="135"/>
      <c r="X845" s="135"/>
    </row>
    <row r="846" spans="5:24" s="39" customFormat="1">
      <c r="E846" s="142"/>
      <c r="F846" s="142"/>
      <c r="G846" s="142"/>
      <c r="H846" s="142"/>
      <c r="J846" s="135"/>
      <c r="X846" s="135"/>
    </row>
    <row r="847" spans="5:24" s="39" customFormat="1">
      <c r="E847" s="142"/>
      <c r="F847" s="142"/>
      <c r="G847" s="142"/>
      <c r="H847" s="142"/>
      <c r="J847" s="135"/>
      <c r="X847" s="135"/>
    </row>
    <row r="848" spans="5:24" s="39" customFormat="1">
      <c r="E848" s="142"/>
      <c r="F848" s="142"/>
      <c r="G848" s="142"/>
      <c r="H848" s="142"/>
      <c r="J848" s="135"/>
      <c r="X848" s="135"/>
    </row>
    <row r="849" spans="5:24" s="39" customFormat="1">
      <c r="E849" s="142"/>
      <c r="F849" s="142"/>
      <c r="G849" s="142"/>
      <c r="H849" s="142"/>
      <c r="J849" s="135"/>
      <c r="X849" s="135"/>
    </row>
    <row r="850" spans="5:24" s="39" customFormat="1">
      <c r="E850" s="142"/>
      <c r="F850" s="142"/>
      <c r="G850" s="142"/>
      <c r="H850" s="142"/>
      <c r="J850" s="135"/>
      <c r="X850" s="135"/>
    </row>
    <row r="851" spans="5:24" s="39" customFormat="1">
      <c r="E851" s="142"/>
      <c r="F851" s="142"/>
      <c r="G851" s="142"/>
      <c r="H851" s="142"/>
      <c r="J851" s="135"/>
      <c r="X851" s="135"/>
    </row>
    <row r="852" spans="5:24" s="39" customFormat="1">
      <c r="E852" s="142"/>
      <c r="F852" s="142"/>
      <c r="G852" s="142"/>
      <c r="H852" s="142"/>
      <c r="J852" s="135"/>
      <c r="X852" s="135"/>
    </row>
    <row r="853" spans="5:24" s="39" customFormat="1">
      <c r="E853" s="142"/>
      <c r="F853" s="142"/>
      <c r="G853" s="142"/>
      <c r="H853" s="142"/>
      <c r="J853" s="135"/>
      <c r="X853" s="135"/>
    </row>
    <row r="854" spans="5:24" s="39" customFormat="1">
      <c r="E854" s="142"/>
      <c r="F854" s="142"/>
      <c r="G854" s="142"/>
      <c r="H854" s="142"/>
      <c r="J854" s="135"/>
      <c r="X854" s="135"/>
    </row>
    <row r="855" spans="5:24" s="39" customFormat="1">
      <c r="E855" s="142"/>
      <c r="F855" s="142"/>
      <c r="G855" s="142"/>
      <c r="H855" s="142"/>
      <c r="J855" s="135"/>
      <c r="X855" s="135"/>
    </row>
    <row r="856" spans="5:24" s="39" customFormat="1">
      <c r="E856" s="142"/>
      <c r="F856" s="142"/>
      <c r="G856" s="142"/>
      <c r="H856" s="142"/>
      <c r="J856" s="135"/>
      <c r="X856" s="135"/>
    </row>
    <row r="857" spans="5:24" s="39" customFormat="1">
      <c r="E857" s="142"/>
      <c r="F857" s="142"/>
      <c r="G857" s="142"/>
      <c r="H857" s="142"/>
      <c r="J857" s="135"/>
      <c r="X857" s="135"/>
    </row>
    <row r="858" spans="5:24" s="39" customFormat="1">
      <c r="E858" s="142"/>
      <c r="F858" s="142"/>
      <c r="G858" s="142"/>
      <c r="H858" s="142"/>
      <c r="J858" s="135"/>
      <c r="X858" s="135"/>
    </row>
    <row r="859" spans="5:24" s="39" customFormat="1">
      <c r="E859" s="142"/>
      <c r="F859" s="142"/>
      <c r="G859" s="142"/>
      <c r="H859" s="142"/>
      <c r="J859" s="135"/>
      <c r="X859" s="135"/>
    </row>
    <row r="860" spans="5:24" s="39" customFormat="1">
      <c r="E860" s="142"/>
      <c r="F860" s="142"/>
      <c r="G860" s="142"/>
      <c r="H860" s="142"/>
      <c r="J860" s="135"/>
      <c r="X860" s="135"/>
    </row>
    <row r="861" spans="5:24" s="39" customFormat="1">
      <c r="E861" s="142"/>
      <c r="F861" s="142"/>
      <c r="G861" s="142"/>
      <c r="H861" s="142"/>
      <c r="J861" s="135"/>
      <c r="X861" s="135"/>
    </row>
    <row r="862" spans="5:24" s="39" customFormat="1">
      <c r="E862" s="142"/>
      <c r="F862" s="142"/>
      <c r="G862" s="142"/>
      <c r="H862" s="142"/>
      <c r="J862" s="135"/>
      <c r="X862" s="135"/>
    </row>
    <row r="863" spans="5:24" s="39" customFormat="1">
      <c r="E863" s="142"/>
      <c r="F863" s="142"/>
      <c r="G863" s="142"/>
      <c r="H863" s="142"/>
      <c r="J863" s="135"/>
      <c r="X863" s="135"/>
    </row>
    <row r="864" spans="5:24" s="39" customFormat="1">
      <c r="E864" s="142"/>
      <c r="F864" s="142"/>
      <c r="G864" s="142"/>
      <c r="H864" s="142"/>
      <c r="J864" s="135"/>
      <c r="X864" s="135"/>
    </row>
    <row r="865" spans="5:24" s="39" customFormat="1">
      <c r="E865" s="142"/>
      <c r="F865" s="142"/>
      <c r="G865" s="142"/>
      <c r="H865" s="142"/>
      <c r="J865" s="135"/>
      <c r="X865" s="135"/>
    </row>
    <row r="866" spans="5:24" s="39" customFormat="1">
      <c r="E866" s="142"/>
      <c r="F866" s="142"/>
      <c r="G866" s="142"/>
      <c r="H866" s="142"/>
      <c r="J866" s="135"/>
      <c r="X866" s="135"/>
    </row>
    <row r="867" spans="5:24" s="39" customFormat="1">
      <c r="E867" s="142"/>
      <c r="F867" s="142"/>
      <c r="G867" s="142"/>
      <c r="H867" s="142"/>
      <c r="J867" s="135"/>
      <c r="X867" s="135"/>
    </row>
    <row r="868" spans="5:24" s="39" customFormat="1">
      <c r="E868" s="142"/>
      <c r="F868" s="142"/>
      <c r="G868" s="142"/>
      <c r="H868" s="142"/>
      <c r="J868" s="135"/>
      <c r="X868" s="135"/>
    </row>
    <row r="869" spans="5:24" s="39" customFormat="1">
      <c r="E869" s="142"/>
      <c r="F869" s="142"/>
      <c r="G869" s="142"/>
      <c r="H869" s="142"/>
      <c r="J869" s="135"/>
      <c r="X869" s="135"/>
    </row>
    <row r="870" spans="5:24" s="39" customFormat="1">
      <c r="E870" s="142"/>
      <c r="F870" s="142"/>
      <c r="G870" s="142"/>
      <c r="H870" s="142"/>
      <c r="J870" s="135"/>
      <c r="X870" s="135"/>
    </row>
    <row r="871" spans="5:24" s="39" customFormat="1">
      <c r="E871" s="142"/>
      <c r="F871" s="142"/>
      <c r="G871" s="142"/>
      <c r="H871" s="142"/>
      <c r="J871" s="135"/>
      <c r="X871" s="135"/>
    </row>
    <row r="872" spans="5:24" s="39" customFormat="1">
      <c r="E872" s="142"/>
      <c r="F872" s="142"/>
      <c r="G872" s="142"/>
      <c r="H872" s="142"/>
      <c r="J872" s="135"/>
      <c r="X872" s="135"/>
    </row>
    <row r="873" spans="5:24" s="39" customFormat="1">
      <c r="E873" s="142"/>
      <c r="F873" s="142"/>
      <c r="G873" s="142"/>
      <c r="H873" s="142"/>
      <c r="J873" s="135"/>
      <c r="X873" s="135"/>
    </row>
    <row r="874" spans="5:24" s="39" customFormat="1">
      <c r="E874" s="142"/>
      <c r="F874" s="142"/>
      <c r="G874" s="142"/>
      <c r="H874" s="142"/>
      <c r="J874" s="135"/>
      <c r="X874" s="135"/>
    </row>
    <row r="875" spans="5:24" s="39" customFormat="1">
      <c r="E875" s="142"/>
      <c r="F875" s="142"/>
      <c r="G875" s="142"/>
      <c r="H875" s="142"/>
      <c r="J875" s="135"/>
      <c r="X875" s="135"/>
    </row>
    <row r="876" spans="5:24" s="39" customFormat="1">
      <c r="E876" s="142"/>
      <c r="F876" s="142"/>
      <c r="G876" s="142"/>
      <c r="H876" s="142"/>
      <c r="J876" s="135"/>
      <c r="X876" s="135"/>
    </row>
    <row r="877" spans="5:24" s="39" customFormat="1">
      <c r="E877" s="142"/>
      <c r="F877" s="142"/>
      <c r="G877" s="142"/>
      <c r="H877" s="142"/>
      <c r="J877" s="135"/>
      <c r="X877" s="135"/>
    </row>
    <row r="878" spans="5:24" s="39" customFormat="1">
      <c r="E878" s="142"/>
      <c r="F878" s="142"/>
      <c r="G878" s="142"/>
      <c r="H878" s="142"/>
      <c r="J878" s="135"/>
      <c r="X878" s="135"/>
    </row>
    <row r="879" spans="5:24" s="39" customFormat="1">
      <c r="E879" s="142"/>
      <c r="F879" s="142"/>
      <c r="G879" s="142"/>
      <c r="H879" s="142"/>
      <c r="J879" s="135"/>
      <c r="X879" s="135"/>
    </row>
    <row r="880" spans="5:24" s="39" customFormat="1">
      <c r="E880" s="142"/>
      <c r="F880" s="142"/>
      <c r="G880" s="142"/>
      <c r="H880" s="142"/>
      <c r="J880" s="135"/>
      <c r="X880" s="135"/>
    </row>
    <row r="881" spans="5:24" s="39" customFormat="1">
      <c r="E881" s="142"/>
      <c r="F881" s="142"/>
      <c r="G881" s="142"/>
      <c r="H881" s="142"/>
      <c r="J881" s="135"/>
      <c r="X881" s="135"/>
    </row>
    <row r="882" spans="5:24" s="39" customFormat="1">
      <c r="E882" s="142"/>
      <c r="F882" s="142"/>
      <c r="G882" s="142"/>
      <c r="H882" s="142"/>
      <c r="J882" s="135"/>
      <c r="X882" s="135"/>
    </row>
    <row r="883" spans="5:24" s="39" customFormat="1">
      <c r="E883" s="142"/>
      <c r="F883" s="142"/>
      <c r="G883" s="142"/>
      <c r="H883" s="142"/>
      <c r="J883" s="135"/>
      <c r="X883" s="135"/>
    </row>
    <row r="884" spans="5:24" s="39" customFormat="1">
      <c r="E884" s="142"/>
      <c r="F884" s="142"/>
      <c r="G884" s="142"/>
      <c r="H884" s="142"/>
      <c r="J884" s="135"/>
      <c r="X884" s="135"/>
    </row>
    <row r="885" spans="5:24" s="39" customFormat="1">
      <c r="E885" s="142"/>
      <c r="F885" s="142"/>
      <c r="G885" s="142"/>
      <c r="H885" s="142"/>
      <c r="J885" s="135"/>
      <c r="X885" s="135"/>
    </row>
    <row r="886" spans="5:24" s="39" customFormat="1">
      <c r="E886" s="142"/>
      <c r="F886" s="142"/>
      <c r="G886" s="142"/>
      <c r="H886" s="142"/>
      <c r="J886" s="135"/>
      <c r="X886" s="135"/>
    </row>
    <row r="887" spans="5:24" s="39" customFormat="1">
      <c r="E887" s="142"/>
      <c r="F887" s="142"/>
      <c r="G887" s="142"/>
      <c r="H887" s="142"/>
      <c r="J887" s="135"/>
      <c r="X887" s="135"/>
    </row>
    <row r="888" spans="5:24" s="39" customFormat="1">
      <c r="E888" s="142"/>
      <c r="F888" s="142"/>
      <c r="G888" s="142"/>
      <c r="H888" s="142"/>
      <c r="J888" s="135"/>
      <c r="X888" s="135"/>
    </row>
    <row r="889" spans="5:24" s="39" customFormat="1">
      <c r="E889" s="142"/>
      <c r="F889" s="142"/>
      <c r="G889" s="142"/>
      <c r="H889" s="142"/>
      <c r="J889" s="135"/>
      <c r="X889" s="135"/>
    </row>
    <row r="890" spans="5:24" s="39" customFormat="1">
      <c r="E890" s="142"/>
      <c r="F890" s="142"/>
      <c r="G890" s="142"/>
      <c r="H890" s="142"/>
      <c r="J890" s="135"/>
      <c r="X890" s="135"/>
    </row>
    <row r="891" spans="5:24" s="39" customFormat="1">
      <c r="E891" s="142"/>
      <c r="F891" s="142"/>
      <c r="G891" s="142"/>
      <c r="H891" s="142"/>
      <c r="J891" s="135"/>
      <c r="X891" s="135"/>
    </row>
    <row r="892" spans="5:24" s="39" customFormat="1">
      <c r="E892" s="142"/>
      <c r="F892" s="142"/>
      <c r="G892" s="142"/>
      <c r="H892" s="142"/>
      <c r="J892" s="135"/>
      <c r="X892" s="135"/>
    </row>
    <row r="893" spans="5:24" s="39" customFormat="1">
      <c r="E893" s="142"/>
      <c r="F893" s="142"/>
      <c r="G893" s="142"/>
      <c r="H893" s="142"/>
      <c r="J893" s="135"/>
      <c r="X893" s="135"/>
    </row>
    <row r="894" spans="5:24" s="39" customFormat="1">
      <c r="E894" s="142"/>
      <c r="F894" s="142"/>
      <c r="G894" s="142"/>
      <c r="H894" s="142"/>
      <c r="J894" s="135"/>
      <c r="X894" s="135"/>
    </row>
    <row r="895" spans="5:24" s="39" customFormat="1">
      <c r="E895" s="142"/>
      <c r="F895" s="142"/>
      <c r="G895" s="142"/>
      <c r="H895" s="142"/>
      <c r="J895" s="135"/>
      <c r="X895" s="135"/>
    </row>
    <row r="896" spans="5:24" s="39" customFormat="1">
      <c r="E896" s="142"/>
      <c r="F896" s="142"/>
      <c r="G896" s="142"/>
      <c r="H896" s="142"/>
      <c r="J896" s="135"/>
      <c r="X896" s="135"/>
    </row>
    <row r="897" spans="5:24" s="39" customFormat="1">
      <c r="E897" s="142"/>
      <c r="F897" s="142"/>
      <c r="G897" s="142"/>
      <c r="H897" s="142"/>
      <c r="J897" s="135"/>
      <c r="X897" s="135"/>
    </row>
    <row r="898" spans="5:24" s="39" customFormat="1">
      <c r="E898" s="142"/>
      <c r="F898" s="142"/>
      <c r="G898" s="142"/>
      <c r="H898" s="142"/>
      <c r="J898" s="135"/>
      <c r="X898" s="135"/>
    </row>
    <row r="899" spans="5:24" s="39" customFormat="1">
      <c r="E899" s="142"/>
      <c r="F899" s="142"/>
      <c r="G899" s="142"/>
      <c r="H899" s="142"/>
      <c r="J899" s="135"/>
      <c r="X899" s="135"/>
    </row>
    <row r="900" spans="5:24" s="39" customFormat="1">
      <c r="E900" s="142"/>
      <c r="F900" s="142"/>
      <c r="G900" s="142"/>
      <c r="H900" s="142"/>
      <c r="J900" s="135"/>
      <c r="X900" s="135"/>
    </row>
    <row r="901" spans="5:24" s="39" customFormat="1">
      <c r="E901" s="142"/>
      <c r="F901" s="142"/>
      <c r="G901" s="142"/>
      <c r="H901" s="142"/>
      <c r="J901" s="135"/>
      <c r="X901" s="135"/>
    </row>
    <row r="902" spans="5:24" s="39" customFormat="1">
      <c r="E902" s="142"/>
      <c r="F902" s="142"/>
      <c r="G902" s="142"/>
      <c r="H902" s="142"/>
      <c r="J902" s="135"/>
      <c r="X902" s="135"/>
    </row>
    <row r="903" spans="5:24" s="39" customFormat="1">
      <c r="E903" s="142"/>
      <c r="F903" s="142"/>
      <c r="G903" s="142"/>
      <c r="H903" s="142"/>
      <c r="J903" s="135"/>
      <c r="X903" s="135"/>
    </row>
    <row r="904" spans="5:24" s="39" customFormat="1">
      <c r="E904" s="142"/>
      <c r="F904" s="142"/>
      <c r="G904" s="142"/>
      <c r="H904" s="142"/>
      <c r="J904" s="135"/>
      <c r="X904" s="135"/>
    </row>
    <row r="905" spans="5:24" s="39" customFormat="1">
      <c r="E905" s="142"/>
      <c r="F905" s="142"/>
      <c r="G905" s="142"/>
      <c r="H905" s="142"/>
      <c r="J905" s="135"/>
      <c r="X905" s="135"/>
    </row>
    <row r="906" spans="5:24" s="39" customFormat="1">
      <c r="E906" s="142"/>
      <c r="F906" s="142"/>
      <c r="G906" s="142"/>
      <c r="H906" s="142"/>
      <c r="J906" s="135"/>
      <c r="X906" s="135"/>
    </row>
    <row r="907" spans="5:24" s="39" customFormat="1">
      <c r="E907" s="142"/>
      <c r="F907" s="142"/>
      <c r="G907" s="142"/>
      <c r="H907" s="142"/>
      <c r="J907" s="135"/>
      <c r="X907" s="135"/>
    </row>
    <row r="908" spans="5:24" s="39" customFormat="1">
      <c r="E908" s="142"/>
      <c r="F908" s="142"/>
      <c r="G908" s="142"/>
      <c r="H908" s="142"/>
      <c r="J908" s="135"/>
      <c r="X908" s="135"/>
    </row>
    <row r="909" spans="5:24" s="39" customFormat="1">
      <c r="E909" s="142"/>
      <c r="F909" s="142"/>
      <c r="G909" s="142"/>
      <c r="H909" s="142"/>
      <c r="J909" s="135"/>
      <c r="X909" s="135"/>
    </row>
    <row r="910" spans="5:24" s="39" customFormat="1">
      <c r="E910" s="142"/>
      <c r="F910" s="142"/>
      <c r="G910" s="142"/>
      <c r="H910" s="142"/>
      <c r="J910" s="135"/>
      <c r="X910" s="135"/>
    </row>
    <row r="911" spans="5:24" s="39" customFormat="1">
      <c r="E911" s="142"/>
      <c r="F911" s="142"/>
      <c r="G911" s="142"/>
      <c r="H911" s="142"/>
      <c r="J911" s="135"/>
      <c r="X911" s="135"/>
    </row>
    <row r="912" spans="5:24" s="39" customFormat="1">
      <c r="E912" s="142"/>
      <c r="F912" s="142"/>
      <c r="G912" s="142"/>
      <c r="H912" s="142"/>
      <c r="J912" s="135"/>
      <c r="X912" s="135"/>
    </row>
    <row r="913" spans="5:24" s="39" customFormat="1">
      <c r="E913" s="142"/>
      <c r="F913" s="142"/>
      <c r="G913" s="142"/>
      <c r="H913" s="142"/>
      <c r="J913" s="135"/>
      <c r="X913" s="135"/>
    </row>
    <row r="914" spans="5:24" s="39" customFormat="1">
      <c r="E914" s="142"/>
      <c r="F914" s="142"/>
      <c r="G914" s="142"/>
      <c r="H914" s="142"/>
      <c r="J914" s="135"/>
      <c r="X914" s="135"/>
    </row>
    <row r="915" spans="5:24" s="39" customFormat="1">
      <c r="E915" s="142"/>
      <c r="F915" s="142"/>
      <c r="G915" s="142"/>
      <c r="H915" s="142"/>
      <c r="J915" s="135"/>
      <c r="X915" s="135"/>
    </row>
    <row r="916" spans="5:24" s="39" customFormat="1">
      <c r="E916" s="142"/>
      <c r="F916" s="142"/>
      <c r="G916" s="142"/>
      <c r="H916" s="142"/>
      <c r="J916" s="135"/>
      <c r="X916" s="135"/>
    </row>
    <row r="917" spans="5:24" s="39" customFormat="1">
      <c r="E917" s="142"/>
      <c r="F917" s="142"/>
      <c r="G917" s="142"/>
      <c r="H917" s="142"/>
      <c r="J917" s="135"/>
      <c r="X917" s="135"/>
    </row>
    <row r="918" spans="5:24" s="39" customFormat="1">
      <c r="E918" s="142"/>
      <c r="F918" s="142"/>
      <c r="G918" s="142"/>
      <c r="H918" s="142"/>
      <c r="J918" s="135"/>
      <c r="X918" s="135"/>
    </row>
    <row r="919" spans="5:24" s="39" customFormat="1">
      <c r="E919" s="142"/>
      <c r="F919" s="142"/>
      <c r="G919" s="142"/>
      <c r="H919" s="142"/>
      <c r="J919" s="135"/>
      <c r="X919" s="135"/>
    </row>
    <row r="920" spans="5:24" s="39" customFormat="1">
      <c r="E920" s="142"/>
      <c r="F920" s="142"/>
      <c r="G920" s="142"/>
      <c r="H920" s="142"/>
      <c r="J920" s="135"/>
      <c r="X920" s="135"/>
    </row>
    <row r="921" spans="5:24" s="39" customFormat="1">
      <c r="E921" s="142"/>
      <c r="F921" s="142"/>
      <c r="G921" s="142"/>
      <c r="H921" s="142"/>
      <c r="J921" s="135"/>
      <c r="X921" s="135"/>
    </row>
    <row r="922" spans="5:24" s="39" customFormat="1">
      <c r="E922" s="142"/>
      <c r="F922" s="142"/>
      <c r="G922" s="142"/>
      <c r="H922" s="142"/>
      <c r="J922" s="135"/>
      <c r="X922" s="135"/>
    </row>
    <row r="923" spans="5:24" s="39" customFormat="1">
      <c r="E923" s="142"/>
      <c r="F923" s="142"/>
      <c r="G923" s="142"/>
      <c r="H923" s="142"/>
      <c r="J923" s="135"/>
      <c r="X923" s="135"/>
    </row>
    <row r="924" spans="5:24" s="39" customFormat="1">
      <c r="E924" s="142"/>
      <c r="F924" s="142"/>
      <c r="G924" s="142"/>
      <c r="H924" s="142"/>
      <c r="J924" s="135"/>
      <c r="X924" s="135"/>
    </row>
    <row r="925" spans="5:24" s="39" customFormat="1">
      <c r="E925" s="142"/>
      <c r="F925" s="142"/>
      <c r="G925" s="142"/>
      <c r="H925" s="142"/>
      <c r="J925" s="135"/>
      <c r="X925" s="135"/>
    </row>
    <row r="926" spans="5:24" s="39" customFormat="1">
      <c r="E926" s="142"/>
      <c r="F926" s="142"/>
      <c r="G926" s="142"/>
      <c r="H926" s="142"/>
      <c r="J926" s="135"/>
      <c r="X926" s="135"/>
    </row>
    <row r="927" spans="5:24" s="39" customFormat="1">
      <c r="E927" s="142"/>
      <c r="F927" s="142"/>
      <c r="G927" s="142"/>
      <c r="H927" s="142"/>
      <c r="J927" s="135"/>
      <c r="X927" s="135"/>
    </row>
    <row r="928" spans="5:24" s="39" customFormat="1">
      <c r="E928" s="142"/>
      <c r="F928" s="142"/>
      <c r="G928" s="142"/>
      <c r="H928" s="142"/>
      <c r="J928" s="135"/>
      <c r="X928" s="135"/>
    </row>
    <row r="929" spans="5:24" s="39" customFormat="1">
      <c r="E929" s="142"/>
      <c r="F929" s="142"/>
      <c r="G929" s="142"/>
      <c r="H929" s="142"/>
      <c r="J929" s="135"/>
      <c r="X929" s="135"/>
    </row>
    <row r="930" spans="5:24" s="39" customFormat="1">
      <c r="E930" s="142"/>
      <c r="F930" s="142"/>
      <c r="G930" s="142"/>
      <c r="H930" s="142"/>
      <c r="J930" s="135"/>
      <c r="X930" s="135"/>
    </row>
    <row r="931" spans="5:24" s="39" customFormat="1">
      <c r="E931" s="142"/>
      <c r="F931" s="142"/>
      <c r="G931" s="142"/>
      <c r="H931" s="142"/>
      <c r="J931" s="135"/>
      <c r="X931" s="135"/>
    </row>
    <row r="932" spans="5:24" s="39" customFormat="1">
      <c r="E932" s="142"/>
      <c r="F932" s="142"/>
      <c r="G932" s="142"/>
      <c r="H932" s="142"/>
      <c r="J932" s="135"/>
      <c r="X932" s="135"/>
    </row>
    <row r="933" spans="5:24" s="39" customFormat="1">
      <c r="E933" s="142"/>
      <c r="F933" s="142"/>
      <c r="G933" s="142"/>
      <c r="H933" s="142"/>
      <c r="J933" s="135"/>
      <c r="X933" s="135"/>
    </row>
    <row r="934" spans="5:24" s="39" customFormat="1">
      <c r="E934" s="142"/>
      <c r="F934" s="142"/>
      <c r="G934" s="142"/>
      <c r="H934" s="142"/>
      <c r="J934" s="135"/>
      <c r="X934" s="135"/>
    </row>
    <row r="935" spans="5:24" s="39" customFormat="1">
      <c r="E935" s="142"/>
      <c r="F935" s="142"/>
      <c r="G935" s="142"/>
      <c r="H935" s="142"/>
      <c r="J935" s="135"/>
      <c r="X935" s="135"/>
    </row>
    <row r="936" spans="5:24" s="39" customFormat="1">
      <c r="E936" s="142"/>
      <c r="F936" s="142"/>
      <c r="G936" s="142"/>
      <c r="H936" s="142"/>
      <c r="J936" s="135"/>
      <c r="X936" s="135"/>
    </row>
    <row r="937" spans="5:24" s="39" customFormat="1">
      <c r="E937" s="142"/>
      <c r="F937" s="142"/>
      <c r="G937" s="142"/>
      <c r="H937" s="142"/>
      <c r="J937" s="135"/>
      <c r="X937" s="135"/>
    </row>
    <row r="938" spans="5:24" s="39" customFormat="1">
      <c r="E938" s="142"/>
      <c r="F938" s="142"/>
      <c r="G938" s="142"/>
      <c r="H938" s="142"/>
      <c r="J938" s="135"/>
      <c r="X938" s="135"/>
    </row>
    <row r="939" spans="5:24" s="39" customFormat="1">
      <c r="E939" s="142"/>
      <c r="F939" s="142"/>
      <c r="G939" s="142"/>
      <c r="H939" s="142"/>
      <c r="J939" s="135"/>
      <c r="X939" s="135"/>
    </row>
    <row r="940" spans="5:24" s="39" customFormat="1">
      <c r="E940" s="142"/>
      <c r="F940" s="142"/>
      <c r="G940" s="142"/>
      <c r="H940" s="142"/>
      <c r="J940" s="135"/>
      <c r="X940" s="135"/>
    </row>
    <row r="941" spans="5:24" s="39" customFormat="1">
      <c r="E941" s="142"/>
      <c r="F941" s="142"/>
      <c r="G941" s="142"/>
      <c r="H941" s="142"/>
      <c r="J941" s="135"/>
      <c r="X941" s="135"/>
    </row>
    <row r="942" spans="5:24" s="39" customFormat="1">
      <c r="E942" s="142"/>
      <c r="F942" s="142"/>
      <c r="G942" s="142"/>
      <c r="H942" s="142"/>
      <c r="J942" s="135"/>
      <c r="X942" s="135"/>
    </row>
    <row r="943" spans="5:24" s="39" customFormat="1">
      <c r="E943" s="142"/>
      <c r="F943" s="142"/>
      <c r="G943" s="142"/>
      <c r="H943" s="142"/>
      <c r="J943" s="135"/>
      <c r="X943" s="135"/>
    </row>
    <row r="944" spans="5:24" s="39" customFormat="1">
      <c r="E944" s="142"/>
      <c r="F944" s="142"/>
      <c r="G944" s="142"/>
      <c r="H944" s="142"/>
      <c r="J944" s="135"/>
      <c r="X944" s="135"/>
    </row>
    <row r="945" spans="5:24" s="39" customFormat="1">
      <c r="E945" s="142"/>
      <c r="F945" s="142"/>
      <c r="G945" s="142"/>
      <c r="H945" s="142"/>
      <c r="J945" s="135"/>
      <c r="X945" s="135"/>
    </row>
    <row r="946" spans="5:24" s="39" customFormat="1">
      <c r="E946" s="142"/>
      <c r="F946" s="142"/>
      <c r="G946" s="142"/>
      <c r="H946" s="142"/>
      <c r="J946" s="135"/>
      <c r="X946" s="135"/>
    </row>
    <row r="947" spans="5:24" s="39" customFormat="1">
      <c r="E947" s="142"/>
      <c r="F947" s="142"/>
      <c r="G947" s="142"/>
      <c r="H947" s="142"/>
      <c r="J947" s="135"/>
      <c r="X947" s="135"/>
    </row>
    <row r="948" spans="5:24" s="39" customFormat="1">
      <c r="E948" s="142"/>
      <c r="F948" s="142"/>
      <c r="G948" s="142"/>
      <c r="H948" s="142"/>
      <c r="J948" s="135"/>
      <c r="X948" s="135"/>
    </row>
    <row r="949" spans="5:24" s="39" customFormat="1">
      <c r="E949" s="142"/>
      <c r="F949" s="142"/>
      <c r="G949" s="142"/>
      <c r="H949" s="142"/>
      <c r="J949" s="135"/>
      <c r="X949" s="135"/>
    </row>
    <row r="950" spans="5:24" s="39" customFormat="1">
      <c r="E950" s="142"/>
      <c r="F950" s="142"/>
      <c r="G950" s="142"/>
      <c r="H950" s="142"/>
      <c r="J950" s="135"/>
      <c r="X950" s="135"/>
    </row>
    <row r="951" spans="5:24" s="39" customFormat="1">
      <c r="E951" s="142"/>
      <c r="F951" s="142"/>
      <c r="G951" s="142"/>
      <c r="H951" s="142"/>
      <c r="J951" s="135"/>
      <c r="X951" s="135"/>
    </row>
    <row r="952" spans="5:24" s="39" customFormat="1">
      <c r="E952" s="142"/>
      <c r="F952" s="142"/>
      <c r="G952" s="142"/>
      <c r="H952" s="142"/>
      <c r="J952" s="135"/>
      <c r="X952" s="135"/>
    </row>
    <row r="953" spans="5:24" s="39" customFormat="1">
      <c r="E953" s="142"/>
      <c r="F953" s="142"/>
      <c r="G953" s="142"/>
      <c r="H953" s="142"/>
      <c r="J953" s="135"/>
      <c r="X953" s="135"/>
    </row>
    <row r="954" spans="5:24" s="39" customFormat="1">
      <c r="E954" s="142"/>
      <c r="F954" s="142"/>
      <c r="G954" s="142"/>
      <c r="H954" s="142"/>
      <c r="J954" s="135"/>
      <c r="X954" s="135"/>
    </row>
    <row r="955" spans="5:24" s="39" customFormat="1">
      <c r="E955" s="142"/>
      <c r="F955" s="142"/>
      <c r="G955" s="142"/>
      <c r="H955" s="142"/>
      <c r="J955" s="135"/>
      <c r="X955" s="135"/>
    </row>
    <row r="956" spans="5:24" s="39" customFormat="1">
      <c r="E956" s="142"/>
      <c r="F956" s="142"/>
      <c r="G956" s="142"/>
      <c r="H956" s="142"/>
      <c r="J956" s="135"/>
      <c r="X956" s="135"/>
    </row>
    <row r="957" spans="5:24" s="39" customFormat="1">
      <c r="E957" s="142"/>
      <c r="F957" s="142"/>
      <c r="G957" s="142"/>
      <c r="H957" s="142"/>
      <c r="J957" s="135"/>
      <c r="X957" s="135"/>
    </row>
    <row r="958" spans="5:24" s="39" customFormat="1">
      <c r="E958" s="142"/>
      <c r="F958" s="142"/>
      <c r="G958" s="142"/>
      <c r="H958" s="142"/>
      <c r="J958" s="135"/>
      <c r="X958" s="135"/>
    </row>
    <row r="959" spans="5:24" s="39" customFormat="1">
      <c r="E959" s="142"/>
      <c r="F959" s="142"/>
      <c r="G959" s="142"/>
      <c r="H959" s="142"/>
      <c r="J959" s="135"/>
      <c r="X959" s="135"/>
    </row>
    <row r="960" spans="5:24" s="39" customFormat="1">
      <c r="E960" s="142"/>
      <c r="F960" s="142"/>
      <c r="G960" s="142"/>
      <c r="H960" s="142"/>
      <c r="J960" s="135"/>
      <c r="X960" s="135"/>
    </row>
    <row r="961" spans="5:24" s="39" customFormat="1">
      <c r="E961" s="142"/>
      <c r="F961" s="142"/>
      <c r="G961" s="142"/>
      <c r="H961" s="142"/>
      <c r="J961" s="135"/>
      <c r="X961" s="135"/>
    </row>
    <row r="962" spans="5:24" s="39" customFormat="1">
      <c r="E962" s="142"/>
      <c r="F962" s="142"/>
      <c r="G962" s="142"/>
      <c r="H962" s="142"/>
      <c r="J962" s="135"/>
      <c r="X962" s="135"/>
    </row>
    <row r="963" spans="5:24" s="39" customFormat="1">
      <c r="E963" s="142"/>
      <c r="F963" s="142"/>
      <c r="G963" s="142"/>
      <c r="H963" s="142"/>
      <c r="J963" s="135"/>
      <c r="X963" s="135"/>
    </row>
    <row r="964" spans="5:24" s="39" customFormat="1">
      <c r="E964" s="142"/>
      <c r="F964" s="142"/>
      <c r="G964" s="142"/>
      <c r="H964" s="142"/>
      <c r="J964" s="135"/>
      <c r="X964" s="135"/>
    </row>
    <row r="965" spans="5:24" s="39" customFormat="1">
      <c r="E965" s="142"/>
      <c r="F965" s="142"/>
      <c r="G965" s="142"/>
      <c r="H965" s="142"/>
      <c r="J965" s="135"/>
      <c r="X965" s="135"/>
    </row>
    <row r="966" spans="5:24" s="39" customFormat="1">
      <c r="E966" s="142"/>
      <c r="F966" s="142"/>
      <c r="G966" s="142"/>
      <c r="H966" s="142"/>
      <c r="J966" s="135"/>
      <c r="X966" s="135"/>
    </row>
    <row r="967" spans="5:24" s="39" customFormat="1">
      <c r="E967" s="142"/>
      <c r="F967" s="142"/>
      <c r="G967" s="142"/>
      <c r="H967" s="142"/>
      <c r="J967" s="135"/>
      <c r="X967" s="135"/>
    </row>
    <row r="968" spans="5:24" s="39" customFormat="1">
      <c r="E968" s="142"/>
      <c r="F968" s="142"/>
      <c r="G968" s="142"/>
      <c r="H968" s="142"/>
      <c r="J968" s="135"/>
      <c r="X968" s="135"/>
    </row>
    <row r="969" spans="5:24" s="39" customFormat="1">
      <c r="E969" s="142"/>
      <c r="F969" s="142"/>
      <c r="G969" s="142"/>
      <c r="H969" s="142"/>
      <c r="J969" s="135"/>
      <c r="X969" s="135"/>
    </row>
    <row r="970" spans="5:24" s="39" customFormat="1">
      <c r="E970" s="142"/>
      <c r="F970" s="142"/>
      <c r="G970" s="142"/>
      <c r="H970" s="142"/>
      <c r="J970" s="135"/>
      <c r="X970" s="135"/>
    </row>
    <row r="971" spans="5:24" s="39" customFormat="1">
      <c r="E971" s="142"/>
      <c r="F971" s="142"/>
      <c r="G971" s="142"/>
      <c r="H971" s="142"/>
      <c r="J971" s="135"/>
      <c r="X971" s="135"/>
    </row>
    <row r="972" spans="5:24" s="39" customFormat="1">
      <c r="E972" s="142"/>
      <c r="F972" s="142"/>
      <c r="G972" s="142"/>
      <c r="H972" s="142"/>
      <c r="J972" s="135"/>
      <c r="X972" s="135"/>
    </row>
    <row r="973" spans="5:24" s="39" customFormat="1">
      <c r="E973" s="142"/>
      <c r="F973" s="142"/>
      <c r="G973" s="142"/>
      <c r="H973" s="142"/>
      <c r="J973" s="135"/>
      <c r="X973" s="135"/>
    </row>
    <row r="974" spans="5:24" s="39" customFormat="1">
      <c r="E974" s="142"/>
      <c r="F974" s="142"/>
      <c r="G974" s="142"/>
      <c r="H974" s="142"/>
      <c r="J974" s="135"/>
      <c r="X974" s="135"/>
    </row>
    <row r="975" spans="5:24" s="39" customFormat="1">
      <c r="E975" s="142"/>
      <c r="F975" s="142"/>
      <c r="G975" s="142"/>
      <c r="H975" s="142"/>
      <c r="J975" s="135"/>
      <c r="X975" s="135"/>
    </row>
    <row r="976" spans="5:24" s="39" customFormat="1">
      <c r="E976" s="142"/>
      <c r="F976" s="142"/>
      <c r="G976" s="142"/>
      <c r="H976" s="142"/>
      <c r="J976" s="135"/>
      <c r="X976" s="135"/>
    </row>
    <row r="977" spans="5:24" s="39" customFormat="1">
      <c r="E977" s="142"/>
      <c r="F977" s="142"/>
      <c r="G977" s="142"/>
      <c r="H977" s="142"/>
      <c r="J977" s="135"/>
      <c r="X977" s="135"/>
    </row>
    <row r="978" spans="5:24" s="39" customFormat="1">
      <c r="E978" s="142"/>
      <c r="F978" s="142"/>
      <c r="G978" s="142"/>
      <c r="H978" s="142"/>
      <c r="J978" s="135"/>
      <c r="X978" s="135"/>
    </row>
    <row r="979" spans="5:24" s="39" customFormat="1">
      <c r="E979" s="142"/>
      <c r="F979" s="142"/>
      <c r="G979" s="142"/>
      <c r="H979" s="142"/>
      <c r="J979" s="135"/>
      <c r="X979" s="135"/>
    </row>
    <row r="980" spans="5:24" s="39" customFormat="1">
      <c r="E980" s="142"/>
      <c r="F980" s="142"/>
      <c r="G980" s="142"/>
      <c r="H980" s="142"/>
      <c r="J980" s="135"/>
      <c r="X980" s="135"/>
    </row>
    <row r="981" spans="5:24" s="39" customFormat="1">
      <c r="E981" s="142"/>
      <c r="F981" s="142"/>
      <c r="G981" s="142"/>
      <c r="H981" s="142"/>
      <c r="J981" s="135"/>
      <c r="X981" s="135"/>
    </row>
    <row r="982" spans="5:24" s="39" customFormat="1">
      <c r="E982" s="142"/>
      <c r="F982" s="142"/>
      <c r="G982" s="142"/>
      <c r="H982" s="142"/>
      <c r="J982" s="135"/>
      <c r="X982" s="135"/>
    </row>
    <row r="983" spans="5:24" s="39" customFormat="1">
      <c r="E983" s="142"/>
      <c r="F983" s="142"/>
      <c r="G983" s="142"/>
      <c r="H983" s="142"/>
      <c r="J983" s="135"/>
      <c r="X983" s="135"/>
    </row>
    <row r="984" spans="5:24" s="39" customFormat="1">
      <c r="E984" s="142"/>
      <c r="F984" s="142"/>
      <c r="G984" s="142"/>
      <c r="H984" s="142"/>
      <c r="J984" s="135"/>
      <c r="X984" s="135"/>
    </row>
    <row r="985" spans="5:24" s="39" customFormat="1">
      <c r="E985" s="142"/>
      <c r="F985" s="142"/>
      <c r="G985" s="142"/>
      <c r="H985" s="142"/>
      <c r="J985" s="135"/>
      <c r="X985" s="135"/>
    </row>
  </sheetData>
  <sheetProtection selectLockedCells="1"/>
  <mergeCells count="5">
    <mergeCell ref="A9:C9"/>
    <mergeCell ref="D9:D11"/>
    <mergeCell ref="L9:N9"/>
    <mergeCell ref="S9:T9"/>
    <mergeCell ref="U9:V9"/>
  </mergeCells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CustomTab" label="Kalkulacije" insertAfterMso="TabDeveloper">
        <group id="SimpleControls1" label="Kalkulacija cene kostanja">
          <button id="MenuButton1" label="Kalkulisi cenu kostanja" imageMso="CopyToPersonalCalendar" size="large" onAction="ThisWorkbook.Kalck"/>
          <button id="MenuButton111" label="Otvaranje nove tabele" imageMso="FileManageMenu" size="large" onAction="ThisWorkbook.Otvaranje_matrica"/>
          <button id="MenuButton90" label="Dodaj redove" imageMso="OutlineExpand" onAction="ThisWorkbook.Dodavanje_redova_matrica"/>
          <button id="MenuButton91" label="Oduzmi redove" imageMso="OutlineCollapse" onAction="ThisWorkbook.Oduzimanje_reda_matrica"/>
        </group>
        <group id="SimpleControls2" label="Kalkulacija nabavne cene">
          <button id="MenuButton6" label="Kalkulisi nabavnu cenu" imageMso="AccessListEvents" size="large" onAction="ThisWorkbook.Kalnc"/>
          <button id="MenuButton99" label="Otvaranje nove tabele" imageMso="FileManageMenu" size="large" onAction="ThisWorkbook.Otvaranje_nabavka"/>
          <button id="MenuButton92" label="Dodaj redove" imageMso="OutlineExpand" onAction="ThisWorkbook.Dodavanje_redova_nab"/>
          <button id="MenuButton93" label="Oduzmi redove" imageMso="OutlineCollapse" onAction="ThisWorkbook.Oduzimanje_redova_nab"/>
        </group>
        <group id="SimpleControls3" label="Kalkulacija prodajne cene">
          <button id="MenuButton9" label="Kalkulisi prodajnu cenu" imageMso="PivotTableBlankRowsInsert" size="large" onAction="ThisWorkbook.Kalpc"/>
          <button id="MenuButton919" label="Otvaranje nove tabele" imageMso="FileManageMenu" size="large" onAction="ThisWorkbook.Otvaranje_prodaja"/>
          <button id="MenuButton94" label="Dodaj redove" imageMso="OutlineExpand" onAction="ThisWorkbook.Dodavanje_redova_prod"/>
          <button id="MenuButton95" label="Oduzmi redove" imageMso="OutlineCollapse" onAction="ThisWorkbook.Oduzimanje_reda_prod"/>
        </group>
        <group id="SimpleControls8" label="Pomocne opcije">
          <button id="MenuButton8" label="Uputstvo" imageMso="PivotTableLayoutShowInOutlineForm" size="large" onAction="ThisWorkbook.uputstvo"/>
        </group>
      </tab>
      <tab id="CustomTab1fg" label="Program" insertAfterMso="TabKalkulacije">
        <group id="SimpleControls11f" label="Povratak na glavni meni">
          <button id="MenuButton21f" label="Glavni meni" imageMso="TableEffectsCellBevelGallery" size="large" onAction="Module1.MENI"/>
        </group>
        <group id="SimpleControls12f" label="Opcije">
          <button id="MenuButton29f" label="Finansijsko knjigovodstvo" imageMso="InternationalCurrency" size="large" onAction="Module1.FINANSIJSKO"/>
          <button id="MenuButton22f" label="Materijalno knjigovodstvo" imageMso="_3DMaterialMetal" size="large" onAction="Module1.MATERIJALNO"/>
          <button id="MenuButton23f" label="Osnovna sredstva" imageMso="OpenStartPage" size="large" onAction="Module1.OSNOVNA"/>
          <button id="MenuButton25f" label="Zarade" imageMso="AccessListContacts" size="large" onAction="Module1.ZARAD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MATRICA</vt:lpstr>
      <vt:lpstr>KALNAB</vt:lpstr>
      <vt:lpstr>KALPROD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Milan</dc:creator>
  <cp:lastModifiedBy>rs</cp:lastModifiedBy>
  <dcterms:created xsi:type="dcterms:W3CDTF">2011-01-10T14:47:27Z</dcterms:created>
  <dcterms:modified xsi:type="dcterms:W3CDTF">2016-01-20T10:15:03Z</dcterms:modified>
</cp:coreProperties>
</file>