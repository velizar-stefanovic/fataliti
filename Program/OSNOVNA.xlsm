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8975" windowHeight="11760"/>
  </bookViews>
  <sheets>
    <sheet name="MATRICA" sheetId="1" r:id="rId1"/>
    <sheet name="PRAZNA" sheetId="2" r:id="rId2"/>
  </sheets>
  <calcPr calcId="125725"/>
</workbook>
</file>

<file path=xl/calcChain.xml><?xml version="1.0" encoding="utf-8"?>
<calcChain xmlns="http://schemas.openxmlformats.org/spreadsheetml/2006/main">
  <c r="T17" i="1"/>
  <c r="R17"/>
  <c r="P17"/>
  <c r="N17"/>
  <c r="M17"/>
  <c r="L17"/>
  <c r="L12"/>
  <c r="L13"/>
  <c r="L14"/>
  <c r="L15"/>
  <c r="L16"/>
  <c r="L11"/>
  <c r="T16"/>
  <c r="R16"/>
  <c r="P16"/>
  <c r="N16"/>
  <c r="M16"/>
  <c r="T15"/>
  <c r="R15"/>
  <c r="P15"/>
  <c r="N15"/>
  <c r="M15"/>
  <c r="T14"/>
  <c r="R14"/>
  <c r="P14"/>
  <c r="N14"/>
  <c r="M14"/>
  <c r="T13"/>
  <c r="R13"/>
  <c r="P13"/>
  <c r="N13"/>
  <c r="M13"/>
  <c r="T12"/>
  <c r="R12"/>
  <c r="P12"/>
  <c r="N12"/>
  <c r="M12"/>
  <c r="S19"/>
  <c r="Q19"/>
  <c r="J19"/>
  <c r="I19"/>
  <c r="T11"/>
  <c r="R11"/>
  <c r="R19" s="1"/>
  <c r="P11"/>
  <c r="P19" s="1"/>
  <c r="N11"/>
  <c r="M11"/>
  <c r="M19" l="1"/>
  <c r="L19"/>
  <c r="N19"/>
  <c r="T19"/>
</calcChain>
</file>

<file path=xl/sharedStrings.xml><?xml version="1.0" encoding="utf-8"?>
<sst xmlns="http://schemas.openxmlformats.org/spreadsheetml/2006/main" count="50" uniqueCount="49">
  <si>
    <t/>
  </si>
  <si>
    <t>ИНФОРМАЦИЈЕ О СТАЛНИМ (ФИКСНИМ) СРЕСТВИМА</t>
  </si>
  <si>
    <t>ГРУПА:</t>
  </si>
  <si>
    <t>КОНТО</t>
  </si>
  <si>
    <t>ОБРАЧУН АМОРТИЗАЦИЈЕ И РЕВАЛОРИЗАЦИЈЕ ЗА ПЕРИОД</t>
  </si>
  <si>
    <t>А М О Р Т И З А Ц И Ј А</t>
  </si>
  <si>
    <t>Р Е В А Л О Р И З А Ц И Ј А</t>
  </si>
  <si>
    <t>ИНФОРМАЦИЈЕ О НАБАВЦИ</t>
  </si>
  <si>
    <t>СТАЊЕ ПО КЊИГАМА</t>
  </si>
  <si>
    <t xml:space="preserve">    И С П Р А В К А   В Р Е Д Н О С Т И</t>
  </si>
  <si>
    <t>НАБАВНА ВРЕДНОСТ</t>
  </si>
  <si>
    <t>ОТПИСАНА ВРЕДНОСТ</t>
  </si>
  <si>
    <t>РЕДНИ БРОЈ</t>
  </si>
  <si>
    <t>ИНВЕН-ТАРСКИ БРОЈ</t>
  </si>
  <si>
    <t>Н А З И В</t>
  </si>
  <si>
    <t>ВЕК УПО-ТРЕБЕ</t>
  </si>
  <si>
    <t>РЕЗИДУАЛНА ВРЕДНОСТ</t>
  </si>
  <si>
    <t>НАБАВ-ЉЕНО</t>
  </si>
  <si>
    <t>РАСХО-ДОВАНО</t>
  </si>
  <si>
    <t>КОЛИ-ЧИНА</t>
  </si>
  <si>
    <t>ИЗНОС</t>
  </si>
  <si>
    <t>ОТПИС ПРЕТХОД. ГОДИНА</t>
  </si>
  <si>
    <t>СТОПА АМОР-ТИЗАЦ.</t>
  </si>
  <si>
    <t>ТЕКУЋА ГОДИНА       10х8</t>
  </si>
  <si>
    <t xml:space="preserve"> УКУПНО 9+11</t>
  </si>
  <si>
    <t>РЕЗУЛТАТ РЕВАЛОР.</t>
  </si>
  <si>
    <t>СТАЊЕ ПОСЛЕ        8+15</t>
  </si>
  <si>
    <t>СТАЊЕ ПОСЛЕ     12+17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</si>
  <si>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</si>
  <si>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</si>
  <si>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</si>
  <si>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</si>
  <si>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</si>
  <si>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</si>
  <si>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</si>
  <si>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</si>
  <si>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</si>
  <si>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</si>
  <si>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</si>
  <si>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</si>
  <si>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</si>
  <si>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</si>
  <si>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15</t>
  </si>
  <si>
    <t>16</t>
  </si>
  <si>
    <t>17</t>
  </si>
  <si>
    <t>18</t>
  </si>
  <si>
    <t>19</t>
  </si>
  <si>
    <t>САДАШЊА ВРЕДНОСТ 
    8-12</t>
  </si>
  <si>
    <t>САДАШЊА ВРЕДНОСТ    
16-18</t>
  </si>
</sst>
</file>

<file path=xl/styles.xml><?xml version="1.0" encoding="utf-8"?>
<styleSheet xmlns="http://schemas.openxmlformats.org/spreadsheetml/2006/main">
  <numFmts count="3">
    <numFmt numFmtId="164" formatCode="0.00_)"/>
    <numFmt numFmtId="165" formatCode="dd/mm/yyyy;@"/>
    <numFmt numFmtId="166" formatCode="#,##0.00;\(#,##0.00\)"/>
  </numFmts>
  <fonts count="6">
    <font>
      <sz val="11"/>
      <color theme="1"/>
      <name val="Calibri"/>
      <family val="2"/>
      <charset val="238"/>
      <scheme val="minor"/>
    </font>
    <font>
      <b/>
      <sz val="10"/>
      <name val="Times New Roman"/>
      <family val="1"/>
    </font>
    <font>
      <b/>
      <sz val="10"/>
      <color indexed="12"/>
      <name val="Times New Roman"/>
      <family val="1"/>
    </font>
    <font>
      <sz val="10"/>
      <name val="Times New Roman"/>
      <family val="1"/>
    </font>
    <font>
      <sz val="10"/>
      <color indexed="12"/>
      <name val="Times New Roman"/>
      <family val="1"/>
    </font>
    <font>
      <sz val="10"/>
      <name val="YUTAJM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5" fillId="0" borderId="0"/>
  </cellStyleXfs>
  <cellXfs count="91">
    <xf numFmtId="0" fontId="0" fillId="0" borderId="0" xfId="0"/>
    <xf numFmtId="0" fontId="1" fillId="0" borderId="0" xfId="0" applyFont="1"/>
    <xf numFmtId="0" fontId="1" fillId="0" borderId="0" xfId="0" applyFont="1" applyAlignment="1" applyProtection="1">
      <alignment horizontal="left"/>
    </xf>
    <xf numFmtId="0" fontId="2" fillId="0" borderId="0" xfId="0" applyFont="1" applyProtection="1">
      <protection locked="0"/>
    </xf>
    <xf numFmtId="0" fontId="3" fillId="0" borderId="0" xfId="0" applyFont="1"/>
    <xf numFmtId="0" fontId="1" fillId="0" borderId="0" xfId="0" applyFont="1" applyAlignment="1" applyProtection="1">
      <alignment horizontal="right"/>
    </xf>
    <xf numFmtId="164" fontId="1" fillId="0" borderId="0" xfId="0" applyNumberFormat="1" applyFont="1" applyProtection="1"/>
    <xf numFmtId="0" fontId="3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7" xfId="0" quotePrefix="1" applyFont="1" applyBorder="1" applyAlignment="1" applyProtection="1">
      <alignment horizontal="center" vertical="center" wrapText="1"/>
    </xf>
    <xf numFmtId="0" fontId="1" fillId="0" borderId="18" xfId="0" quotePrefix="1" applyFont="1" applyBorder="1" applyAlignment="1" applyProtection="1">
      <alignment horizontal="center" vertical="center" wrapText="1"/>
    </xf>
    <xf numFmtId="0" fontId="1" fillId="0" borderId="19" xfId="0" quotePrefix="1" applyFont="1" applyBorder="1" applyAlignment="1" applyProtection="1">
      <alignment horizontal="center" vertical="center" wrapText="1"/>
    </xf>
    <xf numFmtId="0" fontId="1" fillId="0" borderId="20" xfId="0" quotePrefix="1" applyFont="1" applyBorder="1" applyAlignment="1" applyProtection="1">
      <alignment horizontal="center" vertical="center" wrapText="1"/>
    </xf>
    <xf numFmtId="0" fontId="1" fillId="0" borderId="23" xfId="0" applyFont="1" applyBorder="1" applyAlignment="1" applyProtection="1">
      <alignment horizontal="center"/>
    </xf>
    <xf numFmtId="0" fontId="1" fillId="0" borderId="24" xfId="0" applyFont="1" applyBorder="1" applyAlignment="1" applyProtection="1">
      <alignment horizontal="center"/>
    </xf>
    <xf numFmtId="0" fontId="1" fillId="0" borderId="25" xfId="0" applyFont="1" applyBorder="1" applyAlignment="1" applyProtection="1">
      <alignment horizontal="center"/>
    </xf>
    <xf numFmtId="0" fontId="1" fillId="0" borderId="26" xfId="0" quotePrefix="1" applyFont="1" applyBorder="1" applyAlignment="1" applyProtection="1">
      <alignment horizontal="center"/>
    </xf>
    <xf numFmtId="0" fontId="1" fillId="0" borderId="26" xfId="0" applyFont="1" applyBorder="1" applyAlignment="1" applyProtection="1">
      <alignment horizontal="center"/>
    </xf>
    <xf numFmtId="0" fontId="1" fillId="0" borderId="27" xfId="0" applyFont="1" applyBorder="1" applyAlignment="1" applyProtection="1">
      <alignment horizontal="center"/>
    </xf>
    <xf numFmtId="0" fontId="3" fillId="0" borderId="1" xfId="0" applyFont="1" applyBorder="1"/>
    <xf numFmtId="39" fontId="3" fillId="0" borderId="1" xfId="0" applyNumberFormat="1" applyFont="1" applyBorder="1"/>
    <xf numFmtId="39" fontId="3" fillId="0" borderId="28" xfId="0" applyNumberFormat="1" applyFont="1" applyBorder="1"/>
    <xf numFmtId="39" fontId="3" fillId="0" borderId="22" xfId="0" applyNumberFormat="1" applyFont="1" applyBorder="1"/>
    <xf numFmtId="39" fontId="3" fillId="0" borderId="29" xfId="0" applyNumberFormat="1" applyFont="1" applyBorder="1"/>
    <xf numFmtId="39" fontId="1" fillId="0" borderId="0" xfId="0" applyNumberFormat="1" applyFont="1" applyProtection="1"/>
    <xf numFmtId="39" fontId="1" fillId="0" borderId="15" xfId="0" applyNumberFormat="1" applyFont="1" applyBorder="1" applyProtection="1"/>
    <xf numFmtId="0" fontId="1" fillId="0" borderId="15" xfId="0" applyNumberFormat="1" applyFont="1" applyBorder="1" applyProtection="1"/>
    <xf numFmtId="39" fontId="1" fillId="0" borderId="30" xfId="0" applyNumberFormat="1" applyFont="1" applyBorder="1" applyProtection="1"/>
    <xf numFmtId="0" fontId="4" fillId="0" borderId="0" xfId="0" applyFont="1" applyProtection="1">
      <protection locked="0"/>
    </xf>
    <xf numFmtId="164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Fill="1"/>
    <xf numFmtId="0" fontId="1" fillId="0" borderId="31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0" fontId="1" fillId="0" borderId="31" xfId="0" quotePrefix="1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/>
    </xf>
    <xf numFmtId="0" fontId="1" fillId="0" borderId="32" xfId="0" applyFont="1" applyBorder="1" applyAlignment="1" applyProtection="1">
      <alignment horizontal="center" vertical="center" wrapText="1"/>
    </xf>
    <xf numFmtId="0" fontId="3" fillId="3" borderId="1" xfId="0" applyFont="1" applyFill="1" applyBorder="1" applyProtection="1">
      <protection locked="0"/>
    </xf>
    <xf numFmtId="49" fontId="3" fillId="3" borderId="1" xfId="0" applyNumberFormat="1" applyFont="1" applyFill="1" applyBorder="1" applyProtection="1">
      <protection locked="0"/>
    </xf>
    <xf numFmtId="0" fontId="3" fillId="3" borderId="1" xfId="0" applyNumberFormat="1" applyFont="1" applyFill="1" applyBorder="1" applyProtection="1">
      <protection locked="0"/>
    </xf>
    <xf numFmtId="165" fontId="3" fillId="3" borderId="1" xfId="0" applyNumberFormat="1" applyFont="1" applyFill="1" applyBorder="1" applyProtection="1">
      <protection locked="0"/>
    </xf>
    <xf numFmtId="39" fontId="3" fillId="3" borderId="1" xfId="0" applyNumberFormat="1" applyFont="1" applyFill="1" applyBorder="1" applyProtection="1">
      <protection locked="0"/>
    </xf>
    <xf numFmtId="0" fontId="1" fillId="4" borderId="22" xfId="0" applyFont="1" applyFill="1" applyBorder="1" applyAlignment="1" applyProtection="1">
      <alignment horizontal="fill"/>
    </xf>
    <xf numFmtId="0" fontId="1" fillId="4" borderId="0" xfId="0" applyFont="1" applyFill="1" applyBorder="1" applyAlignment="1" applyProtection="1">
      <alignment horizontal="fill"/>
    </xf>
    <xf numFmtId="0" fontId="1" fillId="4" borderId="0" xfId="0" applyFont="1" applyFill="1" applyAlignment="1" applyProtection="1">
      <alignment horizontal="fill"/>
    </xf>
    <xf numFmtId="0" fontId="1" fillId="2" borderId="5" xfId="0" applyFont="1" applyFill="1" applyBorder="1" applyAlignment="1" applyProtection="1">
      <alignment horizontal="fill"/>
    </xf>
    <xf numFmtId="39" fontId="1" fillId="2" borderId="5" xfId="0" applyNumberFormat="1" applyFont="1" applyFill="1" applyBorder="1" applyAlignment="1" applyProtection="1">
      <alignment horizontal="fill"/>
    </xf>
    <xf numFmtId="39" fontId="1" fillId="2" borderId="13" xfId="0" applyNumberFormat="1" applyFont="1" applyFill="1" applyBorder="1" applyAlignment="1" applyProtection="1">
      <alignment horizontal="fill"/>
    </xf>
    <xf numFmtId="39" fontId="1" fillId="2" borderId="12" xfId="0" applyNumberFormat="1" applyFont="1" applyFill="1" applyBorder="1" applyAlignment="1" applyProtection="1">
      <alignment horizontal="fill"/>
    </xf>
    <xf numFmtId="39" fontId="1" fillId="2" borderId="6" xfId="0" applyNumberFormat="1" applyFont="1" applyFill="1" applyBorder="1" applyAlignment="1" applyProtection="1">
      <alignment horizontal="fill"/>
    </xf>
    <xf numFmtId="0" fontId="1" fillId="4" borderId="33" xfId="0" applyFont="1" applyFill="1" applyBorder="1" applyAlignment="1" applyProtection="1">
      <alignment horizontal="fill"/>
    </xf>
    <xf numFmtId="0" fontId="1" fillId="4" borderId="34" xfId="0" applyFont="1" applyFill="1" applyBorder="1" applyAlignment="1" applyProtection="1">
      <alignment horizontal="fill"/>
    </xf>
    <xf numFmtId="0" fontId="2" fillId="4" borderId="34" xfId="0" applyFont="1" applyFill="1" applyBorder="1" applyProtection="1">
      <protection locked="0"/>
    </xf>
    <xf numFmtId="0" fontId="1" fillId="4" borderId="35" xfId="0" applyFont="1" applyFill="1" applyBorder="1" applyAlignment="1" applyProtection="1">
      <alignment horizontal="fill"/>
    </xf>
    <xf numFmtId="49" fontId="2" fillId="6" borderId="36" xfId="0" applyNumberFormat="1" applyFont="1" applyFill="1" applyBorder="1" applyAlignment="1" applyProtection="1">
      <alignment horizontal="left"/>
      <protection locked="0"/>
    </xf>
    <xf numFmtId="0" fontId="0" fillId="0" borderId="0" xfId="0" applyBorder="1"/>
    <xf numFmtId="0" fontId="0" fillId="0" borderId="37" xfId="0" applyBorder="1"/>
    <xf numFmtId="49" fontId="1" fillId="2" borderId="12" xfId="0" applyNumberFormat="1" applyFont="1" applyFill="1" applyBorder="1" applyAlignment="1" applyProtection="1">
      <alignment horizontal="fill"/>
    </xf>
    <xf numFmtId="49" fontId="1" fillId="0" borderId="0" xfId="0" applyNumberFormat="1" applyFont="1"/>
    <xf numFmtId="49" fontId="4" fillId="0" borderId="0" xfId="0" applyNumberFormat="1" applyFont="1" applyProtection="1">
      <protection locked="0"/>
    </xf>
    <xf numFmtId="49" fontId="3" fillId="0" borderId="0" xfId="0" applyNumberFormat="1" applyFont="1"/>
    <xf numFmtId="49" fontId="1" fillId="2" borderId="5" xfId="0" applyNumberFormat="1" applyFont="1" applyFill="1" applyBorder="1" applyAlignment="1" applyProtection="1">
      <alignment horizontal="fill"/>
    </xf>
    <xf numFmtId="166" fontId="3" fillId="3" borderId="1" xfId="0" applyNumberFormat="1" applyFont="1" applyFill="1" applyBorder="1" applyProtection="1">
      <protection locked="0"/>
    </xf>
    <xf numFmtId="166" fontId="1" fillId="2" borderId="5" xfId="0" applyNumberFormat="1" applyFont="1" applyFill="1" applyBorder="1" applyAlignment="1" applyProtection="1">
      <alignment horizontal="fill"/>
    </xf>
    <xf numFmtId="166" fontId="1" fillId="0" borderId="0" xfId="0" applyNumberFormat="1" applyFont="1"/>
    <xf numFmtId="166" fontId="4" fillId="0" borderId="0" xfId="0" applyNumberFormat="1" applyFont="1" applyProtection="1">
      <protection locked="0"/>
    </xf>
    <xf numFmtId="166" fontId="3" fillId="0" borderId="0" xfId="0" applyNumberFormat="1" applyFont="1"/>
    <xf numFmtId="49" fontId="3" fillId="5" borderId="17" xfId="0" applyNumberFormat="1" applyFont="1" applyFill="1" applyBorder="1" applyProtection="1">
      <protection locked="0"/>
    </xf>
    <xf numFmtId="0" fontId="1" fillId="0" borderId="5" xfId="0" applyFont="1" applyBorder="1" applyAlignment="1" applyProtection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8" xfId="0" quotePrefix="1" applyFont="1" applyBorder="1" applyAlignment="1" applyProtection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0" borderId="10" xfId="0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" fillId="0" borderId="12" xfId="0" applyFont="1" applyBorder="1" applyAlignment="1" applyProtection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4" xfId="0" applyFont="1" applyBorder="1" applyAlignment="1" applyProtection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7" xfId="0" quotePrefix="1" applyFont="1" applyBorder="1" applyAlignment="1" applyProtection="1">
      <alignment horizontal="center" vertical="center" wrapText="1"/>
    </xf>
    <xf numFmtId="0" fontId="1" fillId="0" borderId="15" xfId="0" quotePrefix="1" applyFont="1" applyBorder="1" applyAlignment="1" applyProtection="1">
      <alignment horizontal="center" vertical="center" wrapText="1"/>
    </xf>
    <xf numFmtId="0" fontId="1" fillId="0" borderId="31" xfId="0" quotePrefix="1" applyFont="1" applyBorder="1" applyAlignment="1" applyProtection="1">
      <alignment horizontal="center" vertical="center" wrapText="1"/>
    </xf>
    <xf numFmtId="0" fontId="1" fillId="0" borderId="21" xfId="0" quotePrefix="1" applyFont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22"/>
  <sheetViews>
    <sheetView tabSelected="1" topLeftCell="F1" workbookViewId="0">
      <selection activeCell="J11" sqref="J11"/>
    </sheetView>
  </sheetViews>
  <sheetFormatPr defaultColWidth="13.85546875" defaultRowHeight="12.75"/>
  <cols>
    <col min="1" max="1" width="8.85546875" style="64" customWidth="1"/>
    <col min="2" max="2" width="11.28515625" style="64" customWidth="1"/>
    <col min="3" max="3" width="45.140625" style="4" customWidth="1"/>
    <col min="4" max="4" width="9.85546875" style="64" customWidth="1"/>
    <col min="5" max="5" width="16" style="70" customWidth="1"/>
    <col min="6" max="7" width="12.85546875" style="4" customWidth="1"/>
    <col min="8" max="8" width="9.85546875" style="4" customWidth="1"/>
    <col min="9" max="10" width="15.85546875" style="4" customWidth="1"/>
    <col min="11" max="11" width="9.85546875" style="4" customWidth="1"/>
    <col min="12" max="14" width="15.85546875" style="4" customWidth="1"/>
    <col min="15" max="15" width="2.28515625" style="4" customWidth="1"/>
    <col min="16" max="20" width="15.85546875" style="4" customWidth="1"/>
    <col min="21" max="16384" width="13.85546875" style="4"/>
  </cols>
  <sheetData>
    <row r="1" spans="1:21" ht="13.5" thickBot="1">
      <c r="A1" s="1"/>
      <c r="B1" s="2" t="s">
        <v>0</v>
      </c>
      <c r="C1" s="2" t="s">
        <v>1</v>
      </c>
      <c r="D1" s="1"/>
      <c r="E1" s="3"/>
      <c r="F1" s="3"/>
      <c r="G1" s="1"/>
      <c r="H1" s="1"/>
      <c r="I1" s="1"/>
      <c r="J1" s="1"/>
      <c r="K1" s="1"/>
      <c r="L1" s="1"/>
      <c r="M1" s="1">
        <v>17</v>
      </c>
      <c r="N1" s="1"/>
      <c r="O1" s="1"/>
      <c r="P1" s="1"/>
      <c r="Q1" s="1"/>
      <c r="R1" s="1"/>
      <c r="S1" s="1"/>
      <c r="T1" s="1"/>
    </row>
    <row r="2" spans="1:21" ht="13.5" thickBot="1">
      <c r="A2" s="2">
        <v>0</v>
      </c>
      <c r="B2" s="5" t="s">
        <v>2</v>
      </c>
      <c r="C2" s="71"/>
      <c r="D2" s="1"/>
      <c r="E2" s="3"/>
      <c r="F2" s="1"/>
      <c r="G2" s="1"/>
      <c r="H2" s="1"/>
      <c r="I2" s="1"/>
      <c r="J2" s="3"/>
      <c r="K2" s="3"/>
      <c r="L2" s="3"/>
      <c r="M2" s="3"/>
      <c r="N2" s="3"/>
      <c r="O2" s="3"/>
      <c r="P2" s="1"/>
      <c r="Q2" s="3"/>
      <c r="R2" s="6"/>
      <c r="S2" s="1"/>
      <c r="T2" s="6"/>
    </row>
    <row r="3" spans="1:21" ht="13.5" thickBot="1">
      <c r="A3" s="2" t="s">
        <v>3</v>
      </c>
      <c r="B3" s="1"/>
      <c r="C3" s="2" t="s">
        <v>4</v>
      </c>
      <c r="D3" s="1"/>
      <c r="E3" s="1"/>
      <c r="F3" s="1"/>
      <c r="G3" s="1"/>
      <c r="H3" s="1"/>
      <c r="I3" s="1"/>
    </row>
    <row r="4" spans="1:21" ht="13.5" thickBot="1">
      <c r="A4" s="58"/>
      <c r="B4" s="1"/>
      <c r="C4" s="71"/>
      <c r="D4" s="1"/>
      <c r="E4" s="1"/>
      <c r="F4" s="1"/>
      <c r="G4" s="1"/>
      <c r="H4" s="1"/>
      <c r="I4" s="1"/>
    </row>
    <row r="5" spans="1:21" ht="13.5" thickBot="1">
      <c r="A5" s="4"/>
      <c r="B5" s="4"/>
      <c r="D5" s="4"/>
      <c r="E5" s="4"/>
    </row>
    <row r="6" spans="1:21" ht="15.75" thickBot="1">
      <c r="A6" s="7"/>
      <c r="B6" s="7"/>
      <c r="C6" s="7"/>
      <c r="D6" s="7"/>
      <c r="E6" s="7"/>
      <c r="F6" s="7"/>
      <c r="G6" s="7"/>
      <c r="H6" s="7"/>
      <c r="I6" s="7"/>
      <c r="J6" s="8"/>
      <c r="K6" s="9" t="s">
        <v>5</v>
      </c>
      <c r="L6" s="10"/>
      <c r="M6" s="10"/>
      <c r="N6" s="11"/>
      <c r="O6" s="72" t="s">
        <v>6</v>
      </c>
      <c r="P6" s="73"/>
      <c r="Q6" s="73"/>
      <c r="R6" s="73"/>
      <c r="S6" s="73"/>
      <c r="T6" s="74"/>
    </row>
    <row r="7" spans="1:21" ht="27" customHeight="1" thickBot="1">
      <c r="A7" s="85" t="s">
        <v>12</v>
      </c>
      <c r="B7" s="85" t="s">
        <v>13</v>
      </c>
      <c r="C7" s="83" t="s">
        <v>14</v>
      </c>
      <c r="D7" s="75"/>
      <c r="E7" s="76"/>
      <c r="F7" s="75" t="s">
        <v>7</v>
      </c>
      <c r="G7" s="76"/>
      <c r="H7" s="75" t="s">
        <v>8</v>
      </c>
      <c r="I7" s="76"/>
      <c r="J7" s="77" t="s">
        <v>9</v>
      </c>
      <c r="K7" s="78"/>
      <c r="L7" s="78"/>
      <c r="M7" s="79"/>
      <c r="N7" s="87" t="s">
        <v>47</v>
      </c>
      <c r="O7"/>
      <c r="P7" s="80" t="s">
        <v>10</v>
      </c>
      <c r="Q7" s="81"/>
      <c r="R7" s="82" t="s">
        <v>11</v>
      </c>
      <c r="S7" s="74"/>
      <c r="T7" s="89" t="s">
        <v>48</v>
      </c>
    </row>
    <row r="8" spans="1:21" ht="39" thickBot="1">
      <c r="A8" s="86"/>
      <c r="B8" s="86"/>
      <c r="C8" s="84"/>
      <c r="D8" s="35" t="s">
        <v>15</v>
      </c>
      <c r="E8" s="36" t="s">
        <v>16</v>
      </c>
      <c r="F8" s="37" t="s">
        <v>17</v>
      </c>
      <c r="G8" s="36" t="s">
        <v>18</v>
      </c>
      <c r="H8" s="38" t="s">
        <v>19</v>
      </c>
      <c r="I8" s="39" t="s">
        <v>20</v>
      </c>
      <c r="J8" s="37" t="s">
        <v>21</v>
      </c>
      <c r="K8" s="35" t="s">
        <v>22</v>
      </c>
      <c r="L8" s="37" t="s">
        <v>23</v>
      </c>
      <c r="M8" s="40" t="s">
        <v>24</v>
      </c>
      <c r="N8" s="88"/>
      <c r="O8"/>
      <c r="P8" s="12" t="s">
        <v>25</v>
      </c>
      <c r="Q8" s="13" t="s">
        <v>26</v>
      </c>
      <c r="R8" s="14" t="s">
        <v>25</v>
      </c>
      <c r="S8" s="15" t="s">
        <v>27</v>
      </c>
      <c r="T8" s="90"/>
    </row>
    <row r="9" spans="1:21" ht="15.75" thickBot="1">
      <c r="A9" s="54"/>
      <c r="B9" s="55"/>
      <c r="C9" s="55"/>
      <c r="D9" s="55"/>
      <c r="E9" s="55"/>
      <c r="F9" s="55"/>
      <c r="G9" s="55"/>
      <c r="H9" s="55"/>
      <c r="I9" s="55"/>
      <c r="J9" s="55"/>
      <c r="K9" s="56"/>
      <c r="L9" s="55"/>
      <c r="M9" s="55"/>
      <c r="N9" s="57"/>
      <c r="O9" s="34"/>
      <c r="P9" s="46"/>
      <c r="Q9" s="47"/>
      <c r="R9" s="48"/>
      <c r="S9" s="48"/>
      <c r="T9" s="48"/>
    </row>
    <row r="10" spans="1:21" ht="15.75" thickBot="1">
      <c r="A10" s="16" t="s">
        <v>28</v>
      </c>
      <c r="B10" s="17" t="s">
        <v>29</v>
      </c>
      <c r="C10" s="18" t="s">
        <v>30</v>
      </c>
      <c r="D10" s="19" t="s">
        <v>31</v>
      </c>
      <c r="E10" s="19" t="s">
        <v>32</v>
      </c>
      <c r="F10" s="20" t="s">
        <v>33</v>
      </c>
      <c r="G10" s="20" t="s">
        <v>34</v>
      </c>
      <c r="H10" s="20" t="s">
        <v>35</v>
      </c>
      <c r="I10" s="20" t="s">
        <v>36</v>
      </c>
      <c r="J10" s="20" t="s">
        <v>37</v>
      </c>
      <c r="K10" s="20" t="s">
        <v>38</v>
      </c>
      <c r="L10" s="20" t="s">
        <v>39</v>
      </c>
      <c r="M10" s="20" t="s">
        <v>40</v>
      </c>
      <c r="N10" s="20" t="s">
        <v>41</v>
      </c>
      <c r="O10" s="60"/>
      <c r="P10" s="16" t="s">
        <v>42</v>
      </c>
      <c r="Q10" s="20" t="s">
        <v>43</v>
      </c>
      <c r="R10" s="20" t="s">
        <v>44</v>
      </c>
      <c r="S10" s="20" t="s">
        <v>45</v>
      </c>
      <c r="T10" s="21" t="s">
        <v>46</v>
      </c>
    </row>
    <row r="11" spans="1:21" ht="15">
      <c r="A11" s="42"/>
      <c r="B11" s="42"/>
      <c r="C11" s="42"/>
      <c r="D11" s="42"/>
      <c r="E11" s="66"/>
      <c r="F11" s="44"/>
      <c r="G11" s="44"/>
      <c r="H11" s="41"/>
      <c r="I11" s="45"/>
      <c r="J11" s="23">
        <v>0</v>
      </c>
      <c r="K11" s="43"/>
      <c r="L11" s="23">
        <f ca="1">IF((I11-E11)&gt;J11,IF(CELL("type",A11)="b",$A$2,IF((I11-E11)*(1-K11/100)-J11&gt;=0,K11*(I11-E11)/100,K11*(I11-E11)/100+(I11-E11)*(1-K11/100)-J11)),0)</f>
        <v>0</v>
      </c>
      <c r="M11" s="23">
        <f ca="1">IF(CELL("type",A11)="b",$A$2,J11+L11)</f>
        <v>0</v>
      </c>
      <c r="N11" s="24">
        <f ca="1">IF(CELL("type",A11)="b",$A$2,I11-M11)</f>
        <v>0</v>
      </c>
      <c r="O11" s="59"/>
      <c r="P11" s="25">
        <f>IF(Q11&gt;0,Q11-I11,0)</f>
        <v>0</v>
      </c>
      <c r="Q11" s="45"/>
      <c r="R11" s="25">
        <f>IF(S11&gt;0,S11-J11,0)</f>
        <v>0</v>
      </c>
      <c r="S11" s="45"/>
      <c r="T11" s="26">
        <f ca="1">IF(CELL("type",A11)="b",$A$2,Q11-S11)</f>
        <v>0</v>
      </c>
      <c r="U11" s="22"/>
    </row>
    <row r="12" spans="1:21" ht="15">
      <c r="A12" s="42"/>
      <c r="B12" s="42"/>
      <c r="C12" s="42"/>
      <c r="D12" s="42"/>
      <c r="E12" s="66"/>
      <c r="F12" s="44"/>
      <c r="G12" s="44"/>
      <c r="H12" s="41"/>
      <c r="I12" s="45"/>
      <c r="J12" s="23">
        <v>0</v>
      </c>
      <c r="K12" s="43"/>
      <c r="L12" s="23">
        <f t="shared" ref="L12:L16" ca="1" si="0">IF((I12-E12)&gt;J12,IF(CELL("type",A12)="b",$A$2,IF((I12-E12)*(1-K12/100)-J12&gt;=0,K12*(I12-E12)/100,K12*(I12-E12)/100+(I12-E12)*(1-K12/100)-J12)),0)</f>
        <v>0</v>
      </c>
      <c r="M12" s="23">
        <f t="shared" ref="M12:M14" ca="1" si="1">IF(CELL("type",A12)="b",$A$2,J12+L12)</f>
        <v>0</v>
      </c>
      <c r="N12" s="24">
        <f t="shared" ref="N12:N14" ca="1" si="2">IF(CELL("type",A12)="b",$A$2,I12-M12)</f>
        <v>0</v>
      </c>
      <c r="O12" s="59"/>
      <c r="P12" s="25">
        <f t="shared" ref="P12:P14" si="3">IF(Q12&gt;0,Q12-I12,0)</f>
        <v>0</v>
      </c>
      <c r="Q12" s="45"/>
      <c r="R12" s="25">
        <f t="shared" ref="R12:R14" si="4">IF(S12&gt;0,S12-J12,0)</f>
        <v>0</v>
      </c>
      <c r="S12" s="45"/>
      <c r="T12" s="26">
        <f t="shared" ref="T12:T14" ca="1" si="5">IF(CELL("type",A12)="b",$A$2,Q12-S12)</f>
        <v>0</v>
      </c>
      <c r="U12" s="22"/>
    </row>
    <row r="13" spans="1:21" ht="15">
      <c r="A13" s="42"/>
      <c r="B13" s="42"/>
      <c r="C13" s="42"/>
      <c r="D13" s="42"/>
      <c r="E13" s="66"/>
      <c r="F13" s="44"/>
      <c r="G13" s="44"/>
      <c r="H13" s="41"/>
      <c r="I13" s="45"/>
      <c r="J13" s="23">
        <v>0</v>
      </c>
      <c r="K13" s="43"/>
      <c r="L13" s="23">
        <f t="shared" ca="1" si="0"/>
        <v>0</v>
      </c>
      <c r="M13" s="23">
        <f t="shared" ca="1" si="1"/>
        <v>0</v>
      </c>
      <c r="N13" s="24">
        <f t="shared" ca="1" si="2"/>
        <v>0</v>
      </c>
      <c r="O13" s="59"/>
      <c r="P13" s="25">
        <f t="shared" si="3"/>
        <v>0</v>
      </c>
      <c r="Q13" s="45"/>
      <c r="R13" s="25">
        <f t="shared" si="4"/>
        <v>0</v>
      </c>
      <c r="S13" s="45"/>
      <c r="T13" s="26">
        <f t="shared" ca="1" si="5"/>
        <v>0</v>
      </c>
      <c r="U13" s="22"/>
    </row>
    <row r="14" spans="1:21" ht="15">
      <c r="A14" s="42"/>
      <c r="B14" s="42"/>
      <c r="C14" s="42"/>
      <c r="D14" s="42"/>
      <c r="E14" s="66"/>
      <c r="F14" s="44"/>
      <c r="G14" s="44"/>
      <c r="H14" s="41"/>
      <c r="I14" s="45"/>
      <c r="J14" s="23">
        <v>0</v>
      </c>
      <c r="K14" s="43"/>
      <c r="L14" s="23">
        <f t="shared" ca="1" si="0"/>
        <v>0</v>
      </c>
      <c r="M14" s="23">
        <f t="shared" ca="1" si="1"/>
        <v>0</v>
      </c>
      <c r="N14" s="24">
        <f t="shared" ca="1" si="2"/>
        <v>0</v>
      </c>
      <c r="O14" s="59"/>
      <c r="P14" s="25">
        <f t="shared" si="3"/>
        <v>0</v>
      </c>
      <c r="Q14" s="45"/>
      <c r="R14" s="25">
        <f t="shared" si="4"/>
        <v>0</v>
      </c>
      <c r="S14" s="45"/>
      <c r="T14" s="26">
        <f t="shared" ca="1" si="5"/>
        <v>0</v>
      </c>
    </row>
    <row r="15" spans="1:21" ht="15">
      <c r="A15" s="42"/>
      <c r="B15" s="42"/>
      <c r="C15" s="42"/>
      <c r="D15" s="42"/>
      <c r="E15" s="66"/>
      <c r="F15" s="44"/>
      <c r="G15" s="44"/>
      <c r="H15" s="41"/>
      <c r="I15" s="45"/>
      <c r="J15" s="23">
        <v>0</v>
      </c>
      <c r="K15" s="43"/>
      <c r="L15" s="23">
        <f t="shared" ca="1" si="0"/>
        <v>0</v>
      </c>
      <c r="M15" s="23">
        <f t="shared" ref="M15:M16" ca="1" si="6">IF(CELL("type",A15)="b",$A$2,J15+L15)</f>
        <v>0</v>
      </c>
      <c r="N15" s="24">
        <f t="shared" ref="N15:N16" ca="1" si="7">IF(CELL("type",A15)="b",$A$2,I15-M15)</f>
        <v>0</v>
      </c>
      <c r="O15" s="59"/>
      <c r="P15" s="25">
        <f t="shared" ref="P15:P16" si="8">IF(Q15&gt;0,Q15-I15,0)</f>
        <v>0</v>
      </c>
      <c r="Q15" s="45"/>
      <c r="R15" s="25">
        <f t="shared" ref="R15:R16" si="9">IF(S15&gt;0,S15-J15,0)</f>
        <v>0</v>
      </c>
      <c r="S15" s="45"/>
      <c r="T15" s="26">
        <f t="shared" ref="T15:T16" ca="1" si="10">IF(CELL("type",A15)="b",$A$2,Q15-S15)</f>
        <v>0</v>
      </c>
    </row>
    <row r="16" spans="1:21" ht="15">
      <c r="A16" s="42"/>
      <c r="B16" s="42"/>
      <c r="C16" s="42"/>
      <c r="D16" s="42"/>
      <c r="E16" s="66"/>
      <c r="F16" s="44"/>
      <c r="G16" s="44"/>
      <c r="H16" s="41"/>
      <c r="I16" s="45"/>
      <c r="J16" s="23">
        <v>0</v>
      </c>
      <c r="K16" s="43"/>
      <c r="L16" s="23">
        <f t="shared" ca="1" si="0"/>
        <v>0</v>
      </c>
      <c r="M16" s="23">
        <f t="shared" ca="1" si="6"/>
        <v>0</v>
      </c>
      <c r="N16" s="24">
        <f t="shared" ca="1" si="7"/>
        <v>0</v>
      </c>
      <c r="O16" s="59"/>
      <c r="P16" s="25">
        <f t="shared" si="8"/>
        <v>0</v>
      </c>
      <c r="Q16" s="45"/>
      <c r="R16" s="25">
        <f t="shared" si="9"/>
        <v>0</v>
      </c>
      <c r="S16" s="45"/>
      <c r="T16" s="26">
        <f t="shared" ca="1" si="10"/>
        <v>0</v>
      </c>
    </row>
    <row r="17" spans="1:20" ht="15.75" thickBot="1">
      <c r="A17" s="42"/>
      <c r="B17" s="42"/>
      <c r="C17" s="42"/>
      <c r="D17" s="42"/>
      <c r="E17" s="66"/>
      <c r="F17" s="44"/>
      <c r="G17" s="44"/>
      <c r="H17" s="41"/>
      <c r="I17" s="45"/>
      <c r="J17" s="23">
        <v>0</v>
      </c>
      <c r="K17" s="43"/>
      <c r="L17" s="23">
        <f t="shared" ref="L17" ca="1" si="11">IF((I17-E17)&gt;J17,IF(CELL("type",A17)="b",$A$2,IF((I17-E17)*(1-K17/100)-J17&gt;=0,K17*(I17-E17)/100,K17*(I17-E17)/100+(I17-E17)*(1-K17/100)-J17)),0)</f>
        <v>0</v>
      </c>
      <c r="M17" s="23">
        <f t="shared" ref="M17" ca="1" si="12">IF(CELL("type",A17)="b",$A$2,J17+L17)</f>
        <v>0</v>
      </c>
      <c r="N17" s="24">
        <f t="shared" ref="N17" ca="1" si="13">IF(CELL("type",A17)="b",$A$2,I17-M17)</f>
        <v>0</v>
      </c>
      <c r="O17" s="59"/>
      <c r="P17" s="25">
        <f t="shared" ref="P17" si="14">IF(Q17&gt;0,Q17-I17,0)</f>
        <v>0</v>
      </c>
      <c r="Q17" s="45"/>
      <c r="R17" s="25">
        <f t="shared" ref="R17" si="15">IF(S17&gt;0,S17-J17,0)</f>
        <v>0</v>
      </c>
      <c r="S17" s="45"/>
      <c r="T17" s="26">
        <f t="shared" ref="T17" ca="1" si="16">IF(CELL("type",A17)="b",$A$2,Q17-S17)</f>
        <v>0</v>
      </c>
    </row>
    <row r="18" spans="1:20" ht="15.75" thickBot="1">
      <c r="A18" s="61"/>
      <c r="B18" s="65"/>
      <c r="C18" s="49"/>
      <c r="D18" s="65"/>
      <c r="E18" s="67"/>
      <c r="F18" s="49"/>
      <c r="G18" s="50"/>
      <c r="H18" s="49"/>
      <c r="I18" s="50"/>
      <c r="J18" s="50"/>
      <c r="K18" s="50"/>
      <c r="L18" s="50"/>
      <c r="M18" s="50"/>
      <c r="N18" s="51"/>
      <c r="O18" s="34"/>
      <c r="P18" s="52"/>
      <c r="Q18" s="50"/>
      <c r="R18" s="50"/>
      <c r="S18" s="50"/>
      <c r="T18" s="53"/>
    </row>
    <row r="19" spans="1:20" ht="15.75" thickBot="1">
      <c r="A19" s="62"/>
      <c r="B19" s="62"/>
      <c r="C19" s="1"/>
      <c r="D19" s="62"/>
      <c r="E19" s="68"/>
      <c r="F19" s="1"/>
      <c r="G19" s="27"/>
      <c r="H19" s="1"/>
      <c r="I19" s="28">
        <f>SUM(I11:I18)</f>
        <v>0</v>
      </c>
      <c r="J19" s="28">
        <f>SUM(J11:J18)</f>
        <v>0</v>
      </c>
      <c r="K19" s="29">
        <v>10</v>
      </c>
      <c r="L19" s="28">
        <f ca="1">SUM(L11:L18)</f>
        <v>0</v>
      </c>
      <c r="M19" s="28">
        <f ca="1">SUM(M11:M18)</f>
        <v>0</v>
      </c>
      <c r="N19" s="28">
        <f ca="1">SUM(N11:N18)</f>
        <v>0</v>
      </c>
      <c r="O19"/>
      <c r="P19" s="30">
        <f>SUM(P11:P18)</f>
        <v>0</v>
      </c>
      <c r="Q19" s="28">
        <f>SUM(Q11:Q18)</f>
        <v>0</v>
      </c>
      <c r="R19" s="28">
        <f>SUM(R11:R18)</f>
        <v>0</v>
      </c>
      <c r="S19" s="28">
        <f>SUM(S11:S18)</f>
        <v>0</v>
      </c>
      <c r="T19" s="28">
        <f ca="1">SUM(T11:T18)</f>
        <v>0</v>
      </c>
    </row>
    <row r="20" spans="1:20">
      <c r="A20" s="62"/>
      <c r="B20" s="62"/>
      <c r="C20" s="1"/>
      <c r="D20" s="62"/>
      <c r="E20" s="68"/>
      <c r="F20" s="1"/>
      <c r="G20" s="1"/>
      <c r="H20" s="1"/>
    </row>
    <row r="21" spans="1:20">
      <c r="A21" s="63"/>
      <c r="C21" s="31"/>
      <c r="D21" s="63"/>
      <c r="E21" s="69"/>
      <c r="I21" s="31"/>
      <c r="J21" s="31"/>
      <c r="K21" s="31"/>
      <c r="L21" s="31"/>
      <c r="M21" s="31"/>
      <c r="N21" s="31"/>
      <c r="O21" s="31"/>
      <c r="Q21" s="31"/>
      <c r="R21" s="32"/>
      <c r="T21" s="32"/>
    </row>
    <row r="22" spans="1:20">
      <c r="A22" s="63"/>
      <c r="C22" s="33"/>
      <c r="E22" s="69"/>
      <c r="I22" s="31"/>
      <c r="J22" s="31"/>
      <c r="K22" s="31"/>
      <c r="L22" s="31"/>
      <c r="M22" s="31"/>
      <c r="N22" s="31"/>
      <c r="O22" s="31"/>
      <c r="Q22" s="31"/>
      <c r="R22" s="32"/>
      <c r="T22" s="32"/>
    </row>
  </sheetData>
  <mergeCells count="12">
    <mergeCell ref="C7:C8"/>
    <mergeCell ref="A7:A8"/>
    <mergeCell ref="B7:B8"/>
    <mergeCell ref="N7:N8"/>
    <mergeCell ref="T7:T8"/>
    <mergeCell ref="O6:T6"/>
    <mergeCell ref="D7:E7"/>
    <mergeCell ref="F7:G7"/>
    <mergeCell ref="H7:I7"/>
    <mergeCell ref="J7:M7"/>
    <mergeCell ref="P7:Q7"/>
    <mergeCell ref="R7:S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CustomTab" label="Osnovna sredstva" insertAfterMso="TabDeveloper">
        <group id="SimpleControls1" label="Grupe osnovnih sredstava">
          <button id="MenuButton1" label="Otvaranje nove tabele" imageMso="FileManageMenu" size="large" onAction="ThisWorkbook.Otvaranje"/>
        </group>
        <group id="SimpleControls2" label="Revalorizacija">
          <button id="MenuButton6" label="Azuriranje" imageMso="AccessListEvents" size="large" onAction="ThisWorkbook.Azuriranje"/>
          <button id="MenuButton7" label="Otvori novu godinu" imageMso="RecoverInviteToMeeting" size="large" onAction="ThisWorkbook.Nova_godina"/>
          <button id="MenuButton3" label="Dodaj redove" imageMso="FillMenu" size="large" onAction="ThisWorkbook.Dodavanje_redova_oss"/>
          <button id="MenuButton4" label="Oduzmi redove" imageMso="FillUp" size="large" onAction="ThisWorkbook.Oduzimanje_reda_oss"/>
        </group>
        <group id="SimpleControls3" label="Pomocne opcije">
          <button id="MenuButton10" label="Uputstvo" imageMso="PivotTableLayoutShowInOutlineForm" size="large" onAction="ThisWorkbook.uputstvo"/>
        </group>
      </tab>
      <tab id="CustomTab1fg" label="Program" insertAfterMso="TabOsnovna_sredstva">
        <group id="SimpleControls11f" label="Povratak na glavni meni">
          <button id="MenuButton21f" label="Glavni meni" imageMso="TableEffectsCellBevelGallery" size="large" onAction="Module1.MENI"/>
        </group>
        <group id="SimpleControls12f" label="Opcije">
          <button id="MenuButton29f" label="Finansijsko knjigovodstvo" imageMso="InternationalCurrency" size="large" onAction="Module1.FINANSIJSKO"/>
          <button id="MenuButton22f" label="Materijalno knjigovodstvo" imageMso="_3DMaterialMetal" size="large" onAction="Module1.MATERIJALNO"/>
          <button id="MenuButton24f" label="Kalkulacije" imageMso="TableStyleTotalsRow" size="large" onAction="Module1.KALKULACIJE"/>
          <button id="MenuButton25f" label="Zarade" imageMso="AccessListContacts" size="large" onAction="Module1.ZARAD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MATRICA</vt:lpstr>
      <vt:lpstr>PRAZNA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Milan</dc:creator>
  <cp:lastModifiedBy>rs</cp:lastModifiedBy>
  <dcterms:created xsi:type="dcterms:W3CDTF">2011-01-10T14:47:27Z</dcterms:created>
  <dcterms:modified xsi:type="dcterms:W3CDTF">2016-02-04T23:35:40Z</dcterms:modified>
</cp:coreProperties>
</file>