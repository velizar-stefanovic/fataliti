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0245" yWindow="-15" windowWidth="10290" windowHeight="8115"/>
  </bookViews>
  <sheets>
    <sheet name="MATRICA" sheetId="1" r:id="rId1"/>
    <sheet name="KARTON" sheetId="2" r:id="rId2"/>
    <sheet name="PLATE" sheetId="3" r:id="rId3"/>
    <sheet name="KADROVI" sheetId="5" r:id="rId4"/>
  </sheets>
  <definedNames>
    <definedName name="STRUKE">KADROVI!$AX$1:$AY$9</definedName>
  </definedNames>
  <calcPr calcId="125725"/>
</workbook>
</file>

<file path=xl/calcChain.xml><?xml version="1.0" encoding="utf-8"?>
<calcChain xmlns="http://schemas.openxmlformats.org/spreadsheetml/2006/main">
  <c r="G47" i="1"/>
  <c r="I45"/>
  <c r="I44"/>
  <c r="J44" s="1"/>
  <c r="U44" s="1"/>
  <c r="I43"/>
  <c r="I42"/>
  <c r="J42" s="1"/>
  <c r="U42" s="1"/>
  <c r="I41"/>
  <c r="J41" s="1"/>
  <c r="U41" s="1"/>
  <c r="I40"/>
  <c r="J40" s="1"/>
  <c r="U40" s="1"/>
  <c r="I39"/>
  <c r="I38"/>
  <c r="J38" s="1"/>
  <c r="U38" s="1"/>
  <c r="I37"/>
  <c r="I36"/>
  <c r="J36" s="1"/>
  <c r="U36" s="1"/>
  <c r="I35"/>
  <c r="I34"/>
  <c r="J34" s="1"/>
  <c r="U34" s="1"/>
  <c r="I33"/>
  <c r="DP21"/>
  <c r="DP20"/>
  <c r="DP19"/>
  <c r="DP18"/>
  <c r="DP17"/>
  <c r="DP16"/>
  <c r="DP15"/>
  <c r="DP13"/>
  <c r="DP11"/>
  <c r="DP10"/>
  <c r="DP8"/>
  <c r="DP6"/>
  <c r="AM44" l="1"/>
  <c r="AK44"/>
  <c r="AG44"/>
  <c r="AE44"/>
  <c r="AB44"/>
  <c r="AW44"/>
  <c r="AL44"/>
  <c r="AJ44"/>
  <c r="AH44"/>
  <c r="AF44"/>
  <c r="J43"/>
  <c r="U43" s="1"/>
  <c r="J45"/>
  <c r="U45" s="1"/>
  <c r="AM38"/>
  <c r="AK38"/>
  <c r="AG38"/>
  <c r="AE38"/>
  <c r="AB38"/>
  <c r="AW38"/>
  <c r="AL38"/>
  <c r="AJ38"/>
  <c r="AH38"/>
  <c r="AF38"/>
  <c r="AM42"/>
  <c r="AK42"/>
  <c r="AG42"/>
  <c r="AE42"/>
  <c r="AB42"/>
  <c r="AW42"/>
  <c r="AL42"/>
  <c r="AJ42"/>
  <c r="AH42"/>
  <c r="AF42"/>
  <c r="AM36"/>
  <c r="AK36"/>
  <c r="AG36"/>
  <c r="AE36"/>
  <c r="AB36"/>
  <c r="AW36"/>
  <c r="AL36"/>
  <c r="AJ36"/>
  <c r="AH36"/>
  <c r="AF36"/>
  <c r="AM40"/>
  <c r="AK40"/>
  <c r="AG40"/>
  <c r="AE40"/>
  <c r="AB40"/>
  <c r="AW40"/>
  <c r="AL40"/>
  <c r="AJ40"/>
  <c r="AH40"/>
  <c r="AF40"/>
  <c r="AW41"/>
  <c r="AL41"/>
  <c r="AJ41"/>
  <c r="AH41"/>
  <c r="AF41"/>
  <c r="AM41"/>
  <c r="AK41"/>
  <c r="AG41"/>
  <c r="AE41"/>
  <c r="AB41"/>
  <c r="J37"/>
  <c r="U37" s="1"/>
  <c r="J39"/>
  <c r="U39" s="1"/>
  <c r="AM34"/>
  <c r="AK34"/>
  <c r="AG34"/>
  <c r="AE34"/>
  <c r="AB34"/>
  <c r="AW34"/>
  <c r="AL34"/>
  <c r="AJ34"/>
  <c r="AH34"/>
  <c r="AF34"/>
  <c r="J33"/>
  <c r="U33" s="1"/>
  <c r="J35"/>
  <c r="U35" s="1"/>
  <c r="DM26"/>
  <c r="DM25"/>
  <c r="DM24"/>
  <c r="DM23"/>
  <c r="DM22"/>
  <c r="DM21"/>
  <c r="DM20"/>
  <c r="DM18"/>
  <c r="DM17"/>
  <c r="DM16"/>
  <c r="DM15"/>
  <c r="DM14"/>
  <c r="DM13"/>
  <c r="DM12"/>
  <c r="DM11"/>
  <c r="DM10"/>
  <c r="DM9"/>
  <c r="DM8"/>
  <c r="DM7"/>
  <c r="DK13"/>
  <c r="DK12"/>
  <c r="DK11"/>
  <c r="DK10"/>
  <c r="DK9"/>
  <c r="DK8"/>
  <c r="DK7"/>
  <c r="DM6"/>
  <c r="DP4"/>
  <c r="DP3"/>
  <c r="DM3"/>
  <c r="DQ2"/>
  <c r="DO2"/>
  <c r="DJ2"/>
  <c r="DN1"/>
  <c r="DO15"/>
  <c r="DO16"/>
  <c r="AN44" l="1"/>
  <c r="AW45"/>
  <c r="AL45"/>
  <c r="AJ45"/>
  <c r="AH45"/>
  <c r="AF45"/>
  <c r="AM45"/>
  <c r="AK45"/>
  <c r="AG45"/>
  <c r="AE45"/>
  <c r="AB45"/>
  <c r="AW43"/>
  <c r="AL43"/>
  <c r="AJ43"/>
  <c r="AH43"/>
  <c r="AF43"/>
  <c r="AM43"/>
  <c r="AK43"/>
  <c r="AG43"/>
  <c r="AE43"/>
  <c r="AB43"/>
  <c r="BT44"/>
  <c r="AZ44"/>
  <c r="AX44"/>
  <c r="AY44"/>
  <c r="AN34"/>
  <c r="AN36"/>
  <c r="AN42"/>
  <c r="AY41"/>
  <c r="BT41"/>
  <c r="AZ41"/>
  <c r="AX41"/>
  <c r="BT40"/>
  <c r="AZ40"/>
  <c r="AX40"/>
  <c r="AY40"/>
  <c r="AN41"/>
  <c r="AN40"/>
  <c r="AW39"/>
  <c r="AL39"/>
  <c r="AJ39"/>
  <c r="AH39"/>
  <c r="AF39"/>
  <c r="AM39"/>
  <c r="AK39"/>
  <c r="AG39"/>
  <c r="AE39"/>
  <c r="AB39"/>
  <c r="AW37"/>
  <c r="AL37"/>
  <c r="AJ37"/>
  <c r="AH37"/>
  <c r="AF37"/>
  <c r="AM37"/>
  <c r="AK37"/>
  <c r="AG37"/>
  <c r="AE37"/>
  <c r="AB37"/>
  <c r="BT36"/>
  <c r="AZ36"/>
  <c r="AX36"/>
  <c r="AY36"/>
  <c r="BT42"/>
  <c r="AZ42"/>
  <c r="AX42"/>
  <c r="AY42"/>
  <c r="BT38"/>
  <c r="AZ38"/>
  <c r="AX38"/>
  <c r="AY38"/>
  <c r="AN38"/>
  <c r="AW35"/>
  <c r="AL35"/>
  <c r="AJ35"/>
  <c r="AH35"/>
  <c r="AF35"/>
  <c r="AM35"/>
  <c r="AK35"/>
  <c r="AG35"/>
  <c r="AE35"/>
  <c r="AB35"/>
  <c r="BT34"/>
  <c r="AZ34"/>
  <c r="AX34"/>
  <c r="AY34"/>
  <c r="AW33"/>
  <c r="AL33"/>
  <c r="AJ33"/>
  <c r="AH33"/>
  <c r="AF33"/>
  <c r="AM33"/>
  <c r="AK33"/>
  <c r="AG33"/>
  <c r="AE33"/>
  <c r="AB33"/>
  <c r="GA35"/>
  <c r="GA30"/>
  <c r="CZ10"/>
  <c r="A30" i="2"/>
  <c r="A11"/>
  <c r="A10"/>
  <c r="BB56" i="1"/>
  <c r="BL47"/>
  <c r="BI47"/>
  <c r="DD51" s="1"/>
  <c r="DF51" s="1"/>
  <c r="BH47"/>
  <c r="DD50" s="1"/>
  <c r="DF50" s="1"/>
  <c r="BG47"/>
  <c r="DD49" s="1"/>
  <c r="DF49" s="1"/>
  <c r="BF47"/>
  <c r="DD48" s="1"/>
  <c r="DF48" s="1"/>
  <c r="BD47"/>
  <c r="DD46" s="1"/>
  <c r="DF46" s="1"/>
  <c r="AU47"/>
  <c r="AT47"/>
  <c r="AS47"/>
  <c r="AR47"/>
  <c r="AP47"/>
  <c r="AC47"/>
  <c r="AA47"/>
  <c r="Z47"/>
  <c r="Y47"/>
  <c r="X47"/>
  <c r="W47"/>
  <c r="V47"/>
  <c r="T47"/>
  <c r="S47"/>
  <c r="R47"/>
  <c r="Q47"/>
  <c r="P47"/>
  <c r="O47"/>
  <c r="N47"/>
  <c r="M47"/>
  <c r="L47"/>
  <c r="K47"/>
  <c r="DP59"/>
  <c r="DP57"/>
  <c r="DO57"/>
  <c r="DM57"/>
  <c r="DJ57"/>
  <c r="DP56"/>
  <c r="DM56"/>
  <c r="DJ56" s="1"/>
  <c r="GA55"/>
  <c r="DM55"/>
  <c r="DJ55" s="1"/>
  <c r="GA54"/>
  <c r="DM54"/>
  <c r="DJ54" s="1"/>
  <c r="GA53"/>
  <c r="DM53"/>
  <c r="DJ53" s="1"/>
  <c r="GA52"/>
  <c r="DP52"/>
  <c r="DO52" s="1"/>
  <c r="DM52"/>
  <c r="DJ52" s="1"/>
  <c r="GA51"/>
  <c r="DP51"/>
  <c r="DO51" s="1"/>
  <c r="DM51"/>
  <c r="DB51"/>
  <c r="GA50"/>
  <c r="DP50"/>
  <c r="DO50" s="1"/>
  <c r="DB50"/>
  <c r="GA49"/>
  <c r="DP49"/>
  <c r="DO49" s="1"/>
  <c r="DM49"/>
  <c r="DK49"/>
  <c r="DJ49"/>
  <c r="DB49"/>
  <c r="GA48"/>
  <c r="DP48"/>
  <c r="DO48" s="1"/>
  <c r="DM48"/>
  <c r="DK48"/>
  <c r="DJ48"/>
  <c r="DB48"/>
  <c r="GA47"/>
  <c r="DP47"/>
  <c r="DO47" s="1"/>
  <c r="DM47"/>
  <c r="DK47"/>
  <c r="DJ47"/>
  <c r="DB47"/>
  <c r="GA46"/>
  <c r="DP46"/>
  <c r="DM46"/>
  <c r="DK46"/>
  <c r="DJ46"/>
  <c r="DB46"/>
  <c r="GA45"/>
  <c r="DM45"/>
  <c r="GA44"/>
  <c r="DP44"/>
  <c r="DM44"/>
  <c r="DK44"/>
  <c r="DJ44"/>
  <c r="GA43"/>
  <c r="DM43"/>
  <c r="DK43"/>
  <c r="DJ43"/>
  <c r="GA42"/>
  <c r="DP42"/>
  <c r="DM42"/>
  <c r="DK42"/>
  <c r="DJ42"/>
  <c r="GA41"/>
  <c r="DP41"/>
  <c r="DM41"/>
  <c r="DK41"/>
  <c r="DJ41"/>
  <c r="GA40"/>
  <c r="DP40"/>
  <c r="DM40"/>
  <c r="DK40"/>
  <c r="DJ40"/>
  <c r="GA39"/>
  <c r="DP39"/>
  <c r="DM39"/>
  <c r="DK39"/>
  <c r="DJ39"/>
  <c r="GA38"/>
  <c r="DM38"/>
  <c r="DK38"/>
  <c r="GA37"/>
  <c r="DP37"/>
  <c r="DM37"/>
  <c r="GA36"/>
  <c r="DP35"/>
  <c r="DF35"/>
  <c r="GA34"/>
  <c r="DP34"/>
  <c r="DM34"/>
  <c r="GA33"/>
  <c r="DQ33"/>
  <c r="DO33"/>
  <c r="DJ33"/>
  <c r="GA32"/>
  <c r="DN32"/>
  <c r="I32"/>
  <c r="GA31"/>
  <c r="DB30"/>
  <c r="GA29"/>
  <c r="GA28"/>
  <c r="DP28"/>
  <c r="E28"/>
  <c r="GA27"/>
  <c r="GA26"/>
  <c r="DP26"/>
  <c r="DO26" s="1"/>
  <c r="DJ26"/>
  <c r="CO26"/>
  <c r="CN26"/>
  <c r="GA25"/>
  <c r="DP25"/>
  <c r="DJ25"/>
  <c r="GA24"/>
  <c r="DJ24"/>
  <c r="DC24"/>
  <c r="CZ24"/>
  <c r="CK24"/>
  <c r="CI24"/>
  <c r="GA23"/>
  <c r="DJ23"/>
  <c r="DC23"/>
  <c r="CZ23"/>
  <c r="CK23"/>
  <c r="CI23"/>
  <c r="GA22"/>
  <c r="DJ22"/>
  <c r="DC22"/>
  <c r="CZ22"/>
  <c r="CK22"/>
  <c r="CI22"/>
  <c r="GA21"/>
  <c r="DO21"/>
  <c r="DJ21"/>
  <c r="CK21"/>
  <c r="CI21"/>
  <c r="GA20"/>
  <c r="DO20"/>
  <c r="CK20"/>
  <c r="CI20"/>
  <c r="GA19"/>
  <c r="DO19"/>
  <c r="CK19"/>
  <c r="CI19"/>
  <c r="GA18"/>
  <c r="DO18"/>
  <c r="DK18"/>
  <c r="DJ18"/>
  <c r="CK18"/>
  <c r="CI18"/>
  <c r="GA17"/>
  <c r="DO17"/>
  <c r="DK17"/>
  <c r="DJ17"/>
  <c r="DC17"/>
  <c r="CZ17"/>
  <c r="CK17"/>
  <c r="CI17"/>
  <c r="GA16"/>
  <c r="DK16"/>
  <c r="DJ16"/>
  <c r="DC16"/>
  <c r="CZ16"/>
  <c r="CK16"/>
  <c r="CI16"/>
  <c r="GA15"/>
  <c r="DK15"/>
  <c r="DJ15"/>
  <c r="DF15"/>
  <c r="DC15"/>
  <c r="CZ15"/>
  <c r="CK15"/>
  <c r="CI15"/>
  <c r="GA14"/>
  <c r="DF14"/>
  <c r="DC14"/>
  <c r="CZ14"/>
  <c r="CK14"/>
  <c r="CI14"/>
  <c r="GA13"/>
  <c r="DJ13"/>
  <c r="DC13"/>
  <c r="CZ13"/>
  <c r="CK13"/>
  <c r="CI13"/>
  <c r="GA12"/>
  <c r="DJ12"/>
  <c r="DC12"/>
  <c r="CZ12"/>
  <c r="CK12"/>
  <c r="CI12"/>
  <c r="GA11"/>
  <c r="DJ11"/>
  <c r="DC11"/>
  <c r="CZ11"/>
  <c r="CK11"/>
  <c r="CI11"/>
  <c r="GA10"/>
  <c r="DJ10"/>
  <c r="DC10"/>
  <c r="GA9"/>
  <c r="DP9"/>
  <c r="DJ9"/>
  <c r="DF9"/>
  <c r="F9"/>
  <c r="GA8"/>
  <c r="DJ8"/>
  <c r="F8"/>
  <c r="GA7"/>
  <c r="F7"/>
  <c r="GA6"/>
  <c r="DB6"/>
  <c r="DA5"/>
  <c r="BA40" l="1"/>
  <c r="H44"/>
  <c r="H45"/>
  <c r="H43"/>
  <c r="AY43"/>
  <c r="BT43"/>
  <c r="AZ43"/>
  <c r="AX43"/>
  <c r="AY45"/>
  <c r="BT45"/>
  <c r="AZ45"/>
  <c r="AX45"/>
  <c r="BA44"/>
  <c r="AN43"/>
  <c r="AN45"/>
  <c r="BA34"/>
  <c r="BA38"/>
  <c r="BA41"/>
  <c r="AY37"/>
  <c r="BT37"/>
  <c r="AZ37"/>
  <c r="AX37"/>
  <c r="AY39"/>
  <c r="BT39"/>
  <c r="AZ39"/>
  <c r="AX39"/>
  <c r="BA42"/>
  <c r="BA36"/>
  <c r="AN37"/>
  <c r="AN39"/>
  <c r="H42"/>
  <c r="H40"/>
  <c r="H38"/>
  <c r="H36"/>
  <c r="H41"/>
  <c r="H39"/>
  <c r="H37"/>
  <c r="H34"/>
  <c r="H35"/>
  <c r="H33"/>
  <c r="AY35"/>
  <c r="BT35"/>
  <c r="AZ35"/>
  <c r="AX35"/>
  <c r="AN35"/>
  <c r="AY33"/>
  <c r="BT33"/>
  <c r="AZ33"/>
  <c r="AX33"/>
  <c r="AN33"/>
  <c r="BA56"/>
  <c r="AZ56"/>
  <c r="CK26"/>
  <c r="A33" i="2"/>
  <c r="I47" i="1"/>
  <c r="H32"/>
  <c r="J32"/>
  <c r="BA33" l="1"/>
  <c r="BA43"/>
  <c r="H47"/>
  <c r="BA45"/>
  <c r="BA35"/>
  <c r="BA37"/>
  <c r="BA39"/>
  <c r="J47"/>
  <c r="U32"/>
  <c r="U47" l="1"/>
  <c r="U30" s="1"/>
  <c r="BN45" l="1"/>
  <c r="BN43"/>
  <c r="BN44"/>
  <c r="BN42"/>
  <c r="BN40"/>
  <c r="BN38"/>
  <c r="BN36"/>
  <c r="BN41"/>
  <c r="BN39"/>
  <c r="BN37"/>
  <c r="BN34"/>
  <c r="BN35"/>
  <c r="BN33"/>
  <c r="DK4"/>
  <c r="DK35"/>
  <c r="BN32"/>
  <c r="AB32"/>
  <c r="AJ32"/>
  <c r="AK32"/>
  <c r="AL32"/>
  <c r="AM32"/>
  <c r="AD43" l="1"/>
  <c r="AI43" s="1"/>
  <c r="AQ43"/>
  <c r="BB43"/>
  <c r="BC43" s="1"/>
  <c r="AQ44"/>
  <c r="AD44"/>
  <c r="AI44" s="1"/>
  <c r="BB44"/>
  <c r="BC44" s="1"/>
  <c r="BE44" s="1"/>
  <c r="BJ44" s="1"/>
  <c r="BK44" s="1"/>
  <c r="BM44" s="1"/>
  <c r="AQ45"/>
  <c r="AD45"/>
  <c r="AI45" s="1"/>
  <c r="AO45" s="1"/>
  <c r="AV45" s="1"/>
  <c r="BB45"/>
  <c r="BC45" s="1"/>
  <c r="BE45" s="1"/>
  <c r="BJ45" s="1"/>
  <c r="BK45" s="1"/>
  <c r="BM45" s="1"/>
  <c r="AQ39"/>
  <c r="AD39"/>
  <c r="AI39" s="1"/>
  <c r="BB39"/>
  <c r="BC39" s="1"/>
  <c r="BE39" s="1"/>
  <c r="BJ39" s="1"/>
  <c r="BK39" s="1"/>
  <c r="BM39" s="1"/>
  <c r="AD36"/>
  <c r="AI36" s="1"/>
  <c r="AQ36"/>
  <c r="BB36"/>
  <c r="BC36" s="1"/>
  <c r="BE36" s="1"/>
  <c r="BJ36" s="1"/>
  <c r="BK36" s="1"/>
  <c r="BM36" s="1"/>
  <c r="AQ40"/>
  <c r="AD40"/>
  <c r="AI40" s="1"/>
  <c r="BB40"/>
  <c r="BC40" s="1"/>
  <c r="BE40" s="1"/>
  <c r="BJ40" s="1"/>
  <c r="BK40" s="1"/>
  <c r="BM40" s="1"/>
  <c r="AQ37"/>
  <c r="AD37"/>
  <c r="AI37" s="1"/>
  <c r="BB37"/>
  <c r="BC37" s="1"/>
  <c r="AQ41"/>
  <c r="AD41"/>
  <c r="AI41" s="1"/>
  <c r="BB41"/>
  <c r="BC41" s="1"/>
  <c r="BE41" s="1"/>
  <c r="BJ41" s="1"/>
  <c r="BK41" s="1"/>
  <c r="BM41" s="1"/>
  <c r="AQ38"/>
  <c r="AD38"/>
  <c r="AI38" s="1"/>
  <c r="BB38"/>
  <c r="BC38" s="1"/>
  <c r="BE38" s="1"/>
  <c r="BJ38" s="1"/>
  <c r="BK38" s="1"/>
  <c r="BM38" s="1"/>
  <c r="AD42"/>
  <c r="AI42" s="1"/>
  <c r="AQ42"/>
  <c r="BB42"/>
  <c r="BC42" s="1"/>
  <c r="AD33"/>
  <c r="AI33" s="1"/>
  <c r="AQ33"/>
  <c r="BB33"/>
  <c r="BC33" s="1"/>
  <c r="BE33" s="1"/>
  <c r="BJ33" s="1"/>
  <c r="BK33" s="1"/>
  <c r="BM33" s="1"/>
  <c r="AQ34"/>
  <c r="AD34"/>
  <c r="AI34" s="1"/>
  <c r="BB34"/>
  <c r="BC34" s="1"/>
  <c r="BE34" s="1"/>
  <c r="BJ34" s="1"/>
  <c r="BK34" s="1"/>
  <c r="BM34" s="1"/>
  <c r="AQ35"/>
  <c r="AD35"/>
  <c r="AI35" s="1"/>
  <c r="BB35"/>
  <c r="BC35" s="1"/>
  <c r="BE35" s="1"/>
  <c r="BJ35" s="1"/>
  <c r="BK35" s="1"/>
  <c r="BM35" s="1"/>
  <c r="AM47"/>
  <c r="AK47"/>
  <c r="AL47"/>
  <c r="AJ47"/>
  <c r="AN32"/>
  <c r="AB47"/>
  <c r="AD32"/>
  <c r="AQ32"/>
  <c r="BQ35" l="1"/>
  <c r="BP35"/>
  <c r="BO35" s="1"/>
  <c r="BQ33"/>
  <c r="BP33"/>
  <c r="BO33" s="1"/>
  <c r="BQ38"/>
  <c r="BP38"/>
  <c r="BO38" s="1"/>
  <c r="BE37"/>
  <c r="BJ37" s="1"/>
  <c r="BK37" s="1"/>
  <c r="BM37" s="1"/>
  <c r="BP36"/>
  <c r="BO36" s="1"/>
  <c r="BQ36"/>
  <c r="BQ45"/>
  <c r="BP45"/>
  <c r="BO45" s="1"/>
  <c r="BE43"/>
  <c r="BJ43" s="1"/>
  <c r="BK43" s="1"/>
  <c r="BM43" s="1"/>
  <c r="AO34"/>
  <c r="AV34" s="1"/>
  <c r="AO40"/>
  <c r="AV40" s="1"/>
  <c r="AO44"/>
  <c r="AV44" s="1"/>
  <c r="AO43"/>
  <c r="AV43" s="1"/>
  <c r="BP34"/>
  <c r="BO34" s="1"/>
  <c r="BQ34"/>
  <c r="BE42"/>
  <c r="BJ42" s="1"/>
  <c r="BK42"/>
  <c r="BM42" s="1"/>
  <c r="BQ41"/>
  <c r="BP41"/>
  <c r="BO41" s="1"/>
  <c r="BQ40"/>
  <c r="BP40"/>
  <c r="BO40" s="1"/>
  <c r="BP39"/>
  <c r="BO39" s="1"/>
  <c r="BQ39"/>
  <c r="BP44"/>
  <c r="BO44" s="1"/>
  <c r="BQ44"/>
  <c r="AO37"/>
  <c r="AV37" s="1"/>
  <c r="AO39"/>
  <c r="AV39" s="1"/>
  <c r="AO36"/>
  <c r="AV36" s="1"/>
  <c r="AO35"/>
  <c r="AV35" s="1"/>
  <c r="AO42"/>
  <c r="AV42" s="1"/>
  <c r="AO38"/>
  <c r="AV38" s="1"/>
  <c r="AO41"/>
  <c r="AV41" s="1"/>
  <c r="AO33"/>
  <c r="AV33" s="1"/>
  <c r="AN47"/>
  <c r="AQ47"/>
  <c r="AD47"/>
  <c r="AE32"/>
  <c r="AF32"/>
  <c r="AF47" s="1"/>
  <c r="AG32"/>
  <c r="AH32"/>
  <c r="AH47" s="1"/>
  <c r="BQ43" l="1"/>
  <c r="BP43"/>
  <c r="BO43" s="1"/>
  <c r="BP37"/>
  <c r="BO37" s="1"/>
  <c r="BQ37"/>
  <c r="BP42"/>
  <c r="BO42" s="1"/>
  <c r="BQ42"/>
  <c r="AG47"/>
  <c r="AE47"/>
  <c r="AI32"/>
  <c r="AO32" s="1"/>
  <c r="AI47" l="1"/>
  <c r="AO47"/>
  <c r="AV32"/>
  <c r="AV47" l="1"/>
  <c r="AW32"/>
  <c r="AW47" l="1"/>
  <c r="BT32"/>
  <c r="BB32"/>
  <c r="BB47" s="1"/>
  <c r="DD34" s="1"/>
  <c r="DF34" s="1"/>
  <c r="AZ32"/>
  <c r="AZ47" s="1"/>
  <c r="DD24" s="1"/>
  <c r="AY32"/>
  <c r="AY47" s="1"/>
  <c r="DD23" s="1"/>
  <c r="DD11" s="1"/>
  <c r="AX32"/>
  <c r="CL12" l="1"/>
  <c r="CM12" s="1"/>
  <c r="CL21"/>
  <c r="CL13"/>
  <c r="CL19"/>
  <c r="CL17"/>
  <c r="CL24"/>
  <c r="CL16"/>
  <c r="CL11"/>
  <c r="CL20"/>
  <c r="CL23"/>
  <c r="CL15"/>
  <c r="CL22"/>
  <c r="CL18"/>
  <c r="CL14"/>
  <c r="AX47"/>
  <c r="DD22" s="1"/>
  <c r="DD10" s="1"/>
  <c r="BA32"/>
  <c r="CP12"/>
  <c r="DF17"/>
  <c r="DF16"/>
  <c r="DD13"/>
  <c r="DF13" s="1"/>
  <c r="DD8"/>
  <c r="DF8" s="1"/>
  <c r="CL26" l="1"/>
  <c r="CP14"/>
  <c r="CM14"/>
  <c r="CQ14" s="1"/>
  <c r="CP18"/>
  <c r="CM18"/>
  <c r="CQ18" s="1"/>
  <c r="CP22"/>
  <c r="CM22"/>
  <c r="CQ22" s="1"/>
  <c r="CP15"/>
  <c r="CM15"/>
  <c r="CQ15" s="1"/>
  <c r="CP23"/>
  <c r="CM23"/>
  <c r="CQ23" s="1"/>
  <c r="CP20"/>
  <c r="CM20"/>
  <c r="CQ20" s="1"/>
  <c r="CP11"/>
  <c r="CM11"/>
  <c r="CQ11" s="1"/>
  <c r="CP16"/>
  <c r="CM16"/>
  <c r="CQ16" s="1"/>
  <c r="CP24"/>
  <c r="CM24"/>
  <c r="CQ24" s="1"/>
  <c r="CP17"/>
  <c r="CM17"/>
  <c r="CQ17" s="1"/>
  <c r="CP19"/>
  <c r="CM19"/>
  <c r="CQ19" s="1"/>
  <c r="CP13"/>
  <c r="CM13"/>
  <c r="CQ13" s="1"/>
  <c r="CP21"/>
  <c r="CM21"/>
  <c r="CQ21" s="1"/>
  <c r="CQ12"/>
  <c r="BA47"/>
  <c r="BC32"/>
  <c r="CQ26" l="1"/>
  <c r="CP26"/>
  <c r="CM26"/>
  <c r="BC47"/>
  <c r="DD32" s="1"/>
  <c r="BE32"/>
  <c r="BE47" l="1"/>
  <c r="DD47" s="1"/>
  <c r="DF47" s="1"/>
  <c r="BJ32"/>
  <c r="DF32"/>
  <c r="BJ47" l="1"/>
  <c r="BK32"/>
  <c r="BK47" l="1"/>
  <c r="BM32"/>
  <c r="BM47" l="1"/>
  <c r="BP32"/>
  <c r="BQ32" s="1"/>
  <c r="BO32" l="1"/>
  <c r="BO47" s="1"/>
  <c r="DF45" s="1"/>
  <c r="DD45" s="1"/>
  <c r="DF44" l="1"/>
  <c r="DF53" s="1"/>
  <c r="DF22"/>
  <c r="DF10"/>
  <c r="DD44" l="1"/>
  <c r="DD53" s="1"/>
  <c r="DF11"/>
  <c r="DF23"/>
  <c r="DD26"/>
  <c r="DD33" s="1"/>
  <c r="DD12"/>
  <c r="DF12" s="1"/>
  <c r="DF24"/>
  <c r="DF26" l="1"/>
  <c r="DD19"/>
  <c r="DD36" s="1"/>
  <c r="DF36" s="1"/>
  <c r="DF19"/>
  <c r="DF33"/>
  <c r="DD38" l="1"/>
  <c r="DD40" s="1"/>
  <c r="DF38"/>
</calcChain>
</file>

<file path=xl/sharedStrings.xml><?xml version="1.0" encoding="utf-8"?>
<sst xmlns="http://schemas.openxmlformats.org/spreadsheetml/2006/main" count="565" uniqueCount="354">
  <si>
    <t>посл.ред.</t>
  </si>
  <si>
    <t>BOLDEC2</t>
  </si>
  <si>
    <t>ИЗВЕШТАЈ О ЗАРАДИ ЗА ПЕРИОД:</t>
  </si>
  <si>
    <t xml:space="preserve"> R;B;</t>
  </si>
  <si>
    <t>y</t>
  </si>
  <si>
    <t>Мин.зар по часу</t>
  </si>
  <si>
    <t>|\014</t>
  </si>
  <si>
    <t>{goto}b:a1~/wgpd{getlabel "DA LI SU UNETI PODACI  (Y/N)?  ";a:FN1}</t>
  </si>
  <si>
    <t>{goto}b:k122~/wgpd{getlabel "DA LI SU UNETI PODACI  (Y/N)?  ";a:FN1}</t>
  </si>
  <si>
    <t/>
  </si>
  <si>
    <t>ТАБЕЛА СТОПА ДОПРИНОСА И ПОРЕЗА</t>
  </si>
  <si>
    <t>69</t>
  </si>
  <si>
    <t xml:space="preserve">     Р Е К А П И Т У Л А Ц И Ј А</t>
  </si>
  <si>
    <t xml:space="preserve">                Шифра радника:</t>
  </si>
  <si>
    <t>Године радног стажа:</t>
  </si>
  <si>
    <t>/WGPD{GOTO}G31~/C~.{END}{D}~{CALC}{GOTO}EA32~/reea32..ej8000~</t>
  </si>
  <si>
    <t>{IF a:FN1&lt;&gt;"Y"}{BRANCH a:Fq3}</t>
  </si>
  <si>
    <t>{IF A:FN1&lt;&gt;"Y"}{BRANCH a:Fq3}</t>
  </si>
  <si>
    <t xml:space="preserve">         ОБРАЧУНА ЗАРАДА, ДОПРИНОСА И ПОРЕЗА ОБРАЧУНСКЕ ЈЕДИНИЦЕ:</t>
  </si>
  <si>
    <t>Могући број сати:</t>
  </si>
  <si>
    <t xml:space="preserve">           Основна зарада:</t>
  </si>
  <si>
    <t>{GETNUMBER "UNESITE BROJ REDA PRVOG RADNIKA: ";EA1}{let ea1;ea1+31}~{GETNUMBER "UNESITE BROJ REDA POSLEDNJEG RADNIKA: ";EA2}{let ea2;ea2+31}</t>
  </si>
  <si>
    <t>:pldrqrsb:a1..b:i95~colqlcwqg</t>
  </si>
  <si>
    <t>:pldrqrsb:k122..b:p173~copqlcwqg</t>
  </si>
  <si>
    <t>Врсте доприноса и пореза</t>
  </si>
  <si>
    <t>Бруто</t>
  </si>
  <si>
    <t>Просечна зарада у пр.репуб.</t>
  </si>
  <si>
    <t>Просечна зарада у републици</t>
  </si>
  <si>
    <t>РАСПОДЕЛА ПОРЕЗА ПО ОПШТИНАМА</t>
  </si>
  <si>
    <t>САТИ</t>
  </si>
  <si>
    <t>ДИНАРА</t>
  </si>
  <si>
    <t>{LET EA6;+"{FOR EB1;"&amp;@STRING(EA1;0)&amp;";"&amp;@STRING(EA2;0)&amp;";1;EB6}"}~</t>
  </si>
  <si>
    <t>{HOME}</t>
  </si>
  <si>
    <t>:pldrqrsb:q17..b:v50~copqlcaqg</t>
  </si>
  <si>
    <t>ЗА ПЕРИОД:</t>
  </si>
  <si>
    <t>0. ОБРАЧУНАТА БРУТО ЗАРАДА:</t>
  </si>
  <si>
    <t>:</t>
  </si>
  <si>
    <t>4. ПОРЕЗ</t>
  </si>
  <si>
    <t>{FOR EB1;32;40;1;EB6}</t>
  </si>
  <si>
    <t>{LET EB7;+"/rva"&amp;@STRING(EB1;0)&amp;"..g"&amp;@STRING(EB1;0)&amp;"~~"}~</t>
  </si>
  <si>
    <t>Сати рада</t>
  </si>
  <si>
    <t>УКУПНО</t>
  </si>
  <si>
    <t>АКОНТАЦИЈА</t>
  </si>
  <si>
    <t>РАЗЛИКА</t>
  </si>
  <si>
    <t>ДОПРИНОСИ НА ТЕРЕТ ПОСЛОДАВЦА</t>
  </si>
  <si>
    <t>1. ЗАРАДА ЗА РАД:</t>
  </si>
  <si>
    <t>Празник</t>
  </si>
  <si>
    <t>за здравствену заштиту</t>
  </si>
  <si>
    <t>Stru~n.</t>
  </si>
  <si>
    <t>1. Бруто зарада и накнада радника............;</t>
  </si>
  <si>
    <t>5. УКУПНИ ДОПРИНОСИ:</t>
  </si>
  <si>
    <t>Годишњи одмор</t>
  </si>
  <si>
    <t>за осигурање од незапослености</t>
  </si>
  <si>
    <t>I</t>
  </si>
  <si>
    <t>Број</t>
  </si>
  <si>
    <t>Општина</t>
  </si>
  <si>
    <t>Бр.рад.</t>
  </si>
  <si>
    <t>Зараде</t>
  </si>
  <si>
    <t>Порез на зараде</t>
  </si>
  <si>
    <t xml:space="preserve"> - Пензионо и инвалидско</t>
  </si>
  <si>
    <t>Плаћено одсуство</t>
  </si>
  <si>
    <t>II</t>
  </si>
  <si>
    <t>1</t>
  </si>
  <si>
    <t>2</t>
  </si>
  <si>
    <t>3</t>
  </si>
  <si>
    <t>4</t>
  </si>
  <si>
    <t>5</t>
  </si>
  <si>
    <t>8</t>
  </si>
  <si>
    <t>9</t>
  </si>
  <si>
    <t>12</t>
  </si>
  <si>
    <t>13</t>
  </si>
  <si>
    <t xml:space="preserve"> - Здравствена заштита:</t>
  </si>
  <si>
    <t>Боловање до 30 дана</t>
  </si>
  <si>
    <t>III</t>
  </si>
  <si>
    <t xml:space="preserve"> - За незапослене:</t>
  </si>
  <si>
    <t>Војна вежба</t>
  </si>
  <si>
    <t>IV</t>
  </si>
  <si>
    <t>Боловање преко 30 дана</t>
  </si>
  <si>
    <t>Доприноси комори Србије</t>
  </si>
  <si>
    <t>V</t>
  </si>
  <si>
    <t>6. НЕТО ЗАРАДА (0-4-5):</t>
  </si>
  <si>
    <t>Породиљско одсуство</t>
  </si>
  <si>
    <t>Доприоси комори Београда</t>
  </si>
  <si>
    <t>VI</t>
  </si>
  <si>
    <t>2. НАДОКНАДЕ:</t>
  </si>
  <si>
    <t>Неоправдани</t>
  </si>
  <si>
    <t>Порез на доходак грађана</t>
  </si>
  <si>
    <t>VII-1</t>
  </si>
  <si>
    <t>7. УКУПНО ОБУСТАВЕ:</t>
  </si>
  <si>
    <t>Неплаћено и СИЗ</t>
  </si>
  <si>
    <t>VII-2</t>
  </si>
  <si>
    <t>Остало</t>
  </si>
  <si>
    <t>Рад на празник</t>
  </si>
  <si>
    <t>-</t>
  </si>
  <si>
    <t>Рад ноћу</t>
  </si>
  <si>
    <t>10. Укупни доприноси на терет послодавца</t>
  </si>
  <si>
    <t>Дежурство</t>
  </si>
  <si>
    <t>3. ДОДАЦИ НА ЗАРАДУ:</t>
  </si>
  <si>
    <t>Прековремени рад</t>
  </si>
  <si>
    <t>ДОПРИНОСИ НА ТЕРЕТ РАДНИКА</t>
  </si>
  <si>
    <t>ЦЕНА РАДА СА УЧИНКОМ</t>
  </si>
  <si>
    <t>Цена рада</t>
  </si>
  <si>
    <t>Додатак за резултат рада</t>
  </si>
  <si>
    <t>ОБРАЧУНАТЕ НАКНАДЕ</t>
  </si>
  <si>
    <t>8. РАЗЛИКА (6 - 7):</t>
  </si>
  <si>
    <t>Накнада за празнике</t>
  </si>
  <si>
    <t xml:space="preserve">ОБРАЧУНСКА ЈЕДИНИЦА: </t>
  </si>
  <si>
    <t>У К У П Н О:</t>
  </si>
  <si>
    <t>4. Укупни доприноси на терет радника</t>
  </si>
  <si>
    <t>Накнада за годишњи одмор</t>
  </si>
  <si>
    <t>ОБРАЧУН ЗАРАДА, ПОРЕЗА И ДОПРИНОСА НА ЗАРАДЕ ЗА ПЕРИОД</t>
  </si>
  <si>
    <t>Потпис радника</t>
  </si>
  <si>
    <t>Накнада за плаћено одсуство</t>
  </si>
  <si>
    <t>_</t>
  </si>
  <si>
    <t>10. РАЗЛИКА ЗА ИСПЛАТУ:</t>
  </si>
  <si>
    <t>Накнада за боловање до 30 дана</t>
  </si>
  <si>
    <t>Ред. бр.</t>
  </si>
  <si>
    <t>Шифра радника</t>
  </si>
  <si>
    <t>Коефи- цијент</t>
  </si>
  <si>
    <t>Презиме, средње слово и име</t>
  </si>
  <si>
    <t>Датум заснивања рад.односа</t>
  </si>
  <si>
    <t>Број дана прекида</t>
  </si>
  <si>
    <t>Године радног стажа</t>
  </si>
  <si>
    <t>Основна зарада</t>
  </si>
  <si>
    <t>Сати рада број дана</t>
  </si>
  <si>
    <t>Болова ње до 30 дана</t>
  </si>
  <si>
    <t>Болова ње преко 30 дана</t>
  </si>
  <si>
    <t>Поро диљско одсуство</t>
  </si>
  <si>
    <t>Неоправ-дани сати</t>
  </si>
  <si>
    <t>Неплаћ. и СИЗ</t>
  </si>
  <si>
    <t>Укупно сати</t>
  </si>
  <si>
    <t>Дежур-ство</t>
  </si>
  <si>
    <t>Прековре-мени рад</t>
  </si>
  <si>
    <t>Дани ТО</t>
  </si>
  <si>
    <t>Теренски додатак</t>
  </si>
  <si>
    <t>Цена рада   8х9/20</t>
  </si>
  <si>
    <t>Резилтат рада проценат</t>
  </si>
  <si>
    <t>Увећање за резултат рада</t>
  </si>
  <si>
    <t>Увећање за рад на празник</t>
  </si>
  <si>
    <t>Увећање за рад ноћу</t>
  </si>
  <si>
    <t>Увећање за дежурство</t>
  </si>
  <si>
    <t>Увећање за прековремени рад</t>
  </si>
  <si>
    <t>Цена рада са увећањима</t>
  </si>
  <si>
    <t>Налнада за годишњи одмор</t>
  </si>
  <si>
    <t>Обрачунате накнаде од 35 до 39</t>
  </si>
  <si>
    <t>Додатак по основу рад.стажа</t>
  </si>
  <si>
    <t xml:space="preserve">Функц. додатак коефиц. </t>
  </si>
  <si>
    <t>Функцио-нални додатак</t>
  </si>
  <si>
    <t>Додатак за топли оброк</t>
  </si>
  <si>
    <t>Регрес за годишњи одмор</t>
  </si>
  <si>
    <t>Укупно додатака од 41 до 47</t>
  </si>
  <si>
    <t>Бруто зарада</t>
  </si>
  <si>
    <t>Пензионо и инвалидско</t>
  </si>
  <si>
    <t>Здравствена заштита</t>
  </si>
  <si>
    <t>Допринос за незапослене</t>
  </si>
  <si>
    <t>Укупни доприноси од 50 до 52</t>
  </si>
  <si>
    <t>Порез на зараду</t>
  </si>
  <si>
    <t>Нето зарада</t>
  </si>
  <si>
    <t>Обуставе кредита</t>
  </si>
  <si>
    <t>Синдикална чланарина</t>
  </si>
  <si>
    <t>Самодопри-нос</t>
  </si>
  <si>
    <t>Обуставе</t>
  </si>
  <si>
    <t>Алимента-ција</t>
  </si>
  <si>
    <t>Остале обуставе</t>
  </si>
  <si>
    <t>Укупне обуставе од 56 до 61</t>
  </si>
  <si>
    <t>Нето зарада за исплату 55-62</t>
  </si>
  <si>
    <t>Исплаћена аконтација нето зараде</t>
  </si>
  <si>
    <t>Разлика за исплату</t>
  </si>
  <si>
    <t>Исплата на текући рачун</t>
  </si>
  <si>
    <t>Исплата на руке</t>
  </si>
  <si>
    <t>Потпис</t>
  </si>
  <si>
    <t>Оп-штина</t>
  </si>
  <si>
    <t>Проценат исплате на рачун</t>
  </si>
  <si>
    <t>ЗБИРНИ ОБРАЧУН ТРОШКОВА ЗАРАДА</t>
  </si>
  <si>
    <t>УКУПНО ДОДАТАКА</t>
  </si>
  <si>
    <t>Додатак по основу радног стажа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</si>
  <si>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</si>
  <si>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</si>
  <si>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</si>
  <si>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</si>
  <si>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</si>
  <si>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</si>
  <si>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</si>
  <si>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</si>
  <si>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</si>
  <si>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</si>
  <si>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</si>
  <si>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</si>
  <si>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</si>
  <si>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</si>
  <si>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</si>
  <si>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</si>
  <si>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</si>
  <si>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</si>
  <si>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</si>
  <si>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</si>
  <si>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</si>
  <si>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</si>
  <si>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</si>
  <si>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</si>
  <si>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</si>
  <si>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</si>
  <si>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</si>
  <si>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</si>
  <si>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</si>
  <si>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</si>
  <si>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</si>
  <si>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</si>
  <si>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</si>
  <si>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</si>
  <si>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</si>
  <si>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</si>
  <si>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</si>
  <si>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</si>
  <si>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</si>
  <si>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</si>
  <si>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</si>
  <si>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</si>
  <si>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</si>
  <si>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</si>
  <si>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</si>
  <si>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</si>
  <si>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</si>
  <si>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</si>
  <si>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</si>
  <si>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</si>
  <si>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</si>
  <si>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</si>
  <si>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</si>
  <si>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</si>
  <si>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</si>
  <si>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</si>
  <si>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</si>
  <si>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</si>
  <si>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</si>
  <si>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</si>
  <si>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</si>
  <si>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</si>
  <si>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</si>
  <si>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</si>
  <si>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</si>
  <si>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</si>
  <si>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70</t>
  </si>
  <si>
    <t>71</t>
  </si>
  <si>
    <t>Зарада по функционалном додатку</t>
  </si>
  <si>
    <t xml:space="preserve"> 1. Нето зараде и накнаде радника</t>
  </si>
  <si>
    <t>.</t>
  </si>
  <si>
    <t>Додатак за рад на празник</t>
  </si>
  <si>
    <t xml:space="preserve"> 2. Доприноси из зарада радника</t>
  </si>
  <si>
    <t>Додатак за рад ноћу</t>
  </si>
  <si>
    <t xml:space="preserve"> 3. Порези из зарада радника</t>
  </si>
  <si>
    <t>Додатак за дежурство</t>
  </si>
  <si>
    <t>Додатак за прековремени рад</t>
  </si>
  <si>
    <t xml:space="preserve"> 4. Доприноси на терет послодавца</t>
  </si>
  <si>
    <t>SATI</t>
  </si>
  <si>
    <t>DINARA</t>
  </si>
  <si>
    <t xml:space="preserve"> 5. Трошкови зарада:</t>
  </si>
  <si>
    <t xml:space="preserve"> 6. Однос трошкова зарада и нето зарада:</t>
  </si>
  <si>
    <t>БРУТО ЗАРАДА</t>
  </si>
  <si>
    <t>ОСНОВИЦА ЗА ДОПРИНОСЕ И ПОРЕЗЕ</t>
  </si>
  <si>
    <t>УКУПНИ ДОПРИНОСИ</t>
  </si>
  <si>
    <t>1. Чек</t>
  </si>
  <si>
    <t>2. Текући рачуни</t>
  </si>
  <si>
    <t>Допринос за осигурање од незапослености</t>
  </si>
  <si>
    <t>ПОРЕЗ НА ЗАРАДЕ</t>
  </si>
  <si>
    <t>НЕТО ЗАРАДА</t>
  </si>
  <si>
    <t>УКУПНЕ ОБУСТАВЕ</t>
  </si>
  <si>
    <t>Самодоприноси</t>
  </si>
  <si>
    <t>УКУПНО:</t>
  </si>
  <si>
    <t>Алиментација</t>
  </si>
  <si>
    <t>Шеф рачуноводства</t>
  </si>
  <si>
    <t>Директор</t>
  </si>
  <si>
    <t>НЕТО ЗАРАДА ЗА ИСПЛАТУ</t>
  </si>
  <si>
    <t>НАДОКНАДА ОД СИЗ-а</t>
  </si>
  <si>
    <t>Neto</t>
  </si>
  <si>
    <t>Doprinosi</t>
  </si>
  <si>
    <t>Porez</t>
  </si>
  <si>
    <t>Bruto</t>
  </si>
  <si>
    <t>ГОДИШЊИ ПРЕГЛЕД ПРИМАЊА РАДНИКА</t>
  </si>
  <si>
    <t>Шифра радника:</t>
  </si>
  <si>
    <t>Презиме и име:</t>
  </si>
  <si>
    <t>Запослен:</t>
  </si>
  <si>
    <t>Коефицијент:</t>
  </si>
  <si>
    <t>Бр.уплата:</t>
  </si>
  <si>
    <t>Матични број: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</si>
  <si>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</si>
  <si>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</si>
  <si>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</si>
  <si>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</si>
  <si>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</si>
  <si>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</si>
  <si>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</si>
  <si>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</si>
  <si>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</si>
  <si>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</si>
  <si>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</si>
  <si>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1a</t>
  </si>
  <si>
    <t>1b</t>
  </si>
  <si>
    <t>1c</t>
  </si>
  <si>
    <t>1d</t>
  </si>
  <si>
    <t>2a</t>
  </si>
  <si>
    <t>2b</t>
  </si>
  <si>
    <t>3a</t>
  </si>
  <si>
    <t>3b</t>
  </si>
  <si>
    <t>3c</t>
  </si>
  <si>
    <t>3d</t>
  </si>
  <si>
    <t>4a</t>
  </si>
  <si>
    <t>4b</t>
  </si>
  <si>
    <t>4c</t>
  </si>
  <si>
    <t>4d</t>
  </si>
  <si>
    <t>4e</t>
  </si>
  <si>
    <t>4f</t>
  </si>
  <si>
    <t>4g</t>
  </si>
  <si>
    <t>4h</t>
  </si>
  <si>
    <t>4i</t>
  </si>
  <si>
    <t>4j</t>
  </si>
  <si>
    <t>6</t>
  </si>
  <si>
    <t>7</t>
  </si>
  <si>
    <t>7a</t>
  </si>
  <si>
    <t>7b</t>
  </si>
  <si>
    <t>7c</t>
  </si>
  <si>
    <t>10a</t>
  </si>
  <si>
    <t>10b</t>
  </si>
  <si>
    <t>10c</t>
  </si>
  <si>
    <t>10d</t>
  </si>
  <si>
    <t>10e</t>
  </si>
  <si>
    <t>10f</t>
  </si>
  <si>
    <t>VIII</t>
  </si>
  <si>
    <t>БАЗА ПОДАТАКА О ЗАПОСЛЕНИМА</t>
  </si>
  <si>
    <t>ПРЕДУЗЕЋА</t>
  </si>
  <si>
    <t>Шифра</t>
  </si>
  <si>
    <t>Презиме и име</t>
  </si>
  <si>
    <t>Стручност</t>
  </si>
  <si>
    <t>Група</t>
  </si>
  <si>
    <t>Коеф.</t>
  </si>
  <si>
    <t>Радно место</t>
  </si>
  <si>
    <t>Матични број</t>
  </si>
  <si>
    <t>Адреса</t>
  </si>
  <si>
    <t>Контакт телефон</t>
  </si>
  <si>
    <t>Општина становања</t>
  </si>
  <si>
    <t>Место рођења</t>
  </si>
  <si>
    <t>Рођен</t>
  </si>
  <si>
    <t>Запослен</t>
  </si>
  <si>
    <t>Прекиди</t>
  </si>
  <si>
    <t>Радни стаж</t>
  </si>
  <si>
    <t>Право на Г.О.</t>
  </si>
  <si>
    <t>За год.живота</t>
  </si>
  <si>
    <t>За радни стаж</t>
  </si>
  <si>
    <t>Социјални услови</t>
  </si>
  <si>
    <t>Услови рада</t>
  </si>
  <si>
    <t>Дан обраде:</t>
  </si>
  <si>
    <t>Р.Бр.</t>
  </si>
  <si>
    <t>ПИО на терет запосленог</t>
  </si>
  <si>
    <t>ПИО на терет послодавца</t>
  </si>
</sst>
</file>

<file path=xl/styles.xml><?xml version="1.0" encoding="utf-8"?>
<styleSheet xmlns="http://schemas.openxmlformats.org/spreadsheetml/2006/main">
  <numFmts count="6">
    <numFmt numFmtId="164" formatCode=";;;"/>
    <numFmt numFmtId="165" formatCode="0.000%"/>
    <numFmt numFmtId="166" formatCode="#,##0.00;\(#,##0.00\)"/>
    <numFmt numFmtId="167" formatCode="dd/mm/yyyy;@"/>
    <numFmt numFmtId="168" formatCode="0.0%"/>
    <numFmt numFmtId="169" formatCode="[$-F800]dddd\,\ mmmm\ dd\,\ yyyy"/>
  </numFmts>
  <fonts count="26">
    <font>
      <sz val="11"/>
      <color theme="1"/>
      <name val="Calibri"/>
      <family val="2"/>
      <charset val="238"/>
      <scheme val="minor"/>
    </font>
    <font>
      <sz val="12"/>
      <name val="Times Roman SC"/>
      <family val="1"/>
    </font>
    <font>
      <sz val="12"/>
      <name val="Arial"/>
      <family val="2"/>
    </font>
    <font>
      <sz val="10"/>
      <name val="Times New Roman"/>
      <family val="1"/>
      <charset val="238"/>
    </font>
    <font>
      <b/>
      <sz val="12"/>
      <name val="Arial CYR"/>
    </font>
    <font>
      <b/>
      <sz val="12"/>
      <name val="Times Roman SC"/>
      <family val="1"/>
    </font>
    <font>
      <sz val="14"/>
      <name val="Times Roman SC"/>
      <family val="1"/>
    </font>
    <font>
      <b/>
      <sz val="18"/>
      <name val="YuTimes"/>
    </font>
    <font>
      <sz val="12"/>
      <name val="Arial CYR"/>
    </font>
    <font>
      <sz val="12"/>
      <name val="Arial CE"/>
    </font>
    <font>
      <b/>
      <sz val="12"/>
      <name val="Arial CE"/>
    </font>
    <font>
      <b/>
      <sz val="18"/>
      <name val="Arial CYR"/>
    </font>
    <font>
      <sz val="12"/>
      <name val="Arial"/>
      <family val="2"/>
      <charset val="238"/>
    </font>
    <font>
      <b/>
      <sz val="12"/>
      <name val="Times New Roman"/>
      <family val="1"/>
    </font>
    <font>
      <b/>
      <sz val="18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b/>
      <sz val="14"/>
      <name val="Times New Roman"/>
      <family val="1"/>
    </font>
    <font>
      <b/>
      <sz val="14"/>
      <name val="Times Roman SC"/>
      <family val="1"/>
    </font>
    <font>
      <b/>
      <sz val="14"/>
      <name val="Arial"/>
      <family val="2"/>
    </font>
    <font>
      <sz val="10"/>
      <color indexed="8"/>
      <name val="Times New Roman"/>
      <family val="1"/>
    </font>
    <font>
      <b/>
      <sz val="14"/>
      <name val="YuTimes"/>
    </font>
    <font>
      <sz val="14"/>
      <name val="YuTimes"/>
    </font>
    <font>
      <sz val="10"/>
      <name val="YUTAJM"/>
    </font>
    <font>
      <sz val="10"/>
      <color indexed="12"/>
      <name val="Times New Roman"/>
      <family val="1"/>
    </font>
    <font>
      <b/>
      <sz val="1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3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/>
      <diagonal/>
    </border>
    <border>
      <left style="medium">
        <color indexed="8"/>
      </left>
      <right style="medium">
        <color indexed="64"/>
      </right>
      <top style="medium">
        <color indexed="8"/>
      </top>
      <bottom/>
      <diagonal/>
    </border>
    <border>
      <left style="medium">
        <color indexed="8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8"/>
      </left>
      <right/>
      <top/>
      <bottom style="medium">
        <color indexed="64"/>
      </bottom>
      <diagonal/>
    </border>
    <border>
      <left style="medium">
        <color indexed="8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5">
    <xf numFmtId="0" fontId="0" fillId="0" borderId="0"/>
    <xf numFmtId="0" fontId="3" fillId="0" borderId="0"/>
    <xf numFmtId="0" fontId="12" fillId="0" borderId="0"/>
    <xf numFmtId="0" fontId="23" fillId="0" borderId="0"/>
    <xf numFmtId="0" fontId="2" fillId="0" borderId="0"/>
  </cellStyleXfs>
  <cellXfs count="277">
    <xf numFmtId="0" fontId="0" fillId="0" borderId="0" xfId="0"/>
    <xf numFmtId="0" fontId="1" fillId="0" borderId="0" xfId="0" applyNumberFormat="1" applyFont="1" applyAlignment="1"/>
    <xf numFmtId="0" fontId="2" fillId="0" borderId="0" xfId="0" applyFont="1"/>
    <xf numFmtId="0" fontId="0" fillId="0" borderId="1" xfId="0" applyBorder="1"/>
    <xf numFmtId="0" fontId="3" fillId="0" borderId="0" xfId="1"/>
    <xf numFmtId="164" fontId="2" fillId="0" borderId="0" xfId="0" applyNumberFormat="1" applyFont="1" applyAlignment="1" applyProtection="1">
      <protection locked="0" hidden="1"/>
    </xf>
    <xf numFmtId="0" fontId="4" fillId="0" borderId="2" xfId="0" applyNumberFormat="1" applyFont="1" applyBorder="1" applyAlignment="1"/>
    <xf numFmtId="0" fontId="4" fillId="0" borderId="3" xfId="0" applyNumberFormat="1" applyFont="1" applyBorder="1" applyAlignment="1"/>
    <xf numFmtId="0" fontId="4" fillId="0" borderId="4" xfId="0" applyNumberFormat="1" applyFont="1" applyBorder="1" applyAlignment="1"/>
    <xf numFmtId="0" fontId="1" fillId="0" borderId="5" xfId="0" applyNumberFormat="1" applyFont="1" applyBorder="1" applyAlignment="1"/>
    <xf numFmtId="164" fontId="1" fillId="0" borderId="0" xfId="0" applyNumberFormat="1" applyFont="1" applyProtection="1">
      <protection locked="0" hidden="1"/>
    </xf>
    <xf numFmtId="0" fontId="6" fillId="0" borderId="0" xfId="0" applyNumberFormat="1" applyFont="1" applyAlignment="1" applyProtection="1">
      <protection locked="0"/>
    </xf>
    <xf numFmtId="0" fontId="6" fillId="0" borderId="0" xfId="0" applyNumberFormat="1" applyFont="1" applyAlignment="1"/>
    <xf numFmtId="0" fontId="1" fillId="0" borderId="0" xfId="0" applyNumberFormat="1" applyFont="1" applyProtection="1">
      <protection locked="0"/>
    </xf>
    <xf numFmtId="0" fontId="5" fillId="0" borderId="0" xfId="0" applyNumberFormat="1" applyFont="1" applyAlignment="1">
      <alignment horizontal="center"/>
    </xf>
    <xf numFmtId="0" fontId="2" fillId="0" borderId="0" xfId="0" applyNumberFormat="1" applyFont="1" applyAlignment="1" applyProtection="1">
      <protection locked="0"/>
    </xf>
    <xf numFmtId="164" fontId="1" fillId="0" borderId="0" xfId="0" applyNumberFormat="1" applyFont="1" applyAlignment="1" applyProtection="1">
      <protection locked="0" hidden="1"/>
    </xf>
    <xf numFmtId="0" fontId="4" fillId="0" borderId="0" xfId="0" applyNumberFormat="1" applyFont="1" applyAlignment="1">
      <alignment horizontal="left"/>
    </xf>
    <xf numFmtId="164" fontId="1" fillId="0" borderId="0" xfId="0" applyNumberFormat="1" applyFont="1" applyProtection="1">
      <protection hidden="1"/>
    </xf>
    <xf numFmtId="0" fontId="4" fillId="0" borderId="6" xfId="0" applyNumberFormat="1" applyFont="1" applyBorder="1" applyAlignment="1"/>
    <xf numFmtId="0" fontId="4" fillId="0" borderId="7" xfId="0" applyNumberFormat="1" applyFont="1" applyBorder="1" applyAlignment="1"/>
    <xf numFmtId="0" fontId="4" fillId="0" borderId="0" xfId="0" applyNumberFormat="1" applyFont="1" applyAlignment="1"/>
    <xf numFmtId="0" fontId="4" fillId="0" borderId="8" xfId="0" applyNumberFormat="1" applyFont="1" applyBorder="1" applyAlignment="1"/>
    <xf numFmtId="0" fontId="7" fillId="0" borderId="9" xfId="0" applyNumberFormat="1" applyFont="1" applyBorder="1" applyAlignment="1"/>
    <xf numFmtId="0" fontId="4" fillId="0" borderId="9" xfId="0" applyNumberFormat="1" applyFont="1" applyBorder="1" applyAlignment="1"/>
    <xf numFmtId="0" fontId="1" fillId="0" borderId="5" xfId="0" applyNumberFormat="1" applyFont="1" applyBorder="1"/>
    <xf numFmtId="164" fontId="1" fillId="0" borderId="0" xfId="0" applyNumberFormat="1" applyFont="1" applyAlignment="1" applyProtection="1">
      <protection hidden="1"/>
    </xf>
    <xf numFmtId="164" fontId="2" fillId="0" borderId="0" xfId="0" applyNumberFormat="1" applyFont="1" applyAlignment="1" applyProtection="1">
      <protection hidden="1"/>
    </xf>
    <xf numFmtId="0" fontId="8" fillId="0" borderId="0" xfId="0" applyNumberFormat="1" applyFont="1" applyAlignment="1"/>
    <xf numFmtId="0" fontId="8" fillId="0" borderId="0" xfId="0" applyNumberFormat="1" applyFont="1" applyBorder="1" applyAlignment="1"/>
    <xf numFmtId="0" fontId="10" fillId="0" borderId="10" xfId="0" applyNumberFormat="1" applyFont="1" applyBorder="1" applyAlignment="1">
      <alignment horizontal="center"/>
    </xf>
    <xf numFmtId="0" fontId="8" fillId="0" borderId="11" xfId="0" applyNumberFormat="1" applyFont="1" applyBorder="1" applyAlignment="1"/>
    <xf numFmtId="0" fontId="8" fillId="0" borderId="12" xfId="0" applyNumberFormat="1" applyFont="1" applyBorder="1" applyAlignment="1"/>
    <xf numFmtId="0" fontId="11" fillId="0" borderId="12" xfId="0" applyNumberFormat="1" applyFont="1" applyBorder="1" applyAlignment="1"/>
    <xf numFmtId="0" fontId="8" fillId="0" borderId="13" xfId="0" applyNumberFormat="1" applyFont="1" applyBorder="1" applyAlignment="1"/>
    <xf numFmtId="0" fontId="0" fillId="0" borderId="0" xfId="0" applyBorder="1"/>
    <xf numFmtId="0" fontId="1" fillId="0" borderId="0" xfId="0" applyNumberFormat="1" applyFont="1" applyBorder="1"/>
    <xf numFmtId="0" fontId="4" fillId="0" borderId="8" xfId="0" applyNumberFormat="1" applyFont="1" applyBorder="1" applyAlignment="1">
      <alignment horizontal="right"/>
    </xf>
    <xf numFmtId="0" fontId="4" fillId="0" borderId="14" xfId="0" applyNumberFormat="1" applyFont="1" applyBorder="1" applyAlignment="1"/>
    <xf numFmtId="0" fontId="8" fillId="0" borderId="15" xfId="0" applyNumberFormat="1" applyFont="1" applyBorder="1" applyAlignment="1"/>
    <xf numFmtId="0" fontId="4" fillId="0" borderId="5" xfId="0" applyNumberFormat="1" applyFont="1" applyBorder="1" applyAlignment="1"/>
    <xf numFmtId="2" fontId="4" fillId="0" borderId="9" xfId="0" applyNumberFormat="1" applyFont="1" applyBorder="1" applyAlignment="1"/>
    <xf numFmtId="0" fontId="8" fillId="0" borderId="8" xfId="0" applyNumberFormat="1" applyFont="1" applyBorder="1" applyAlignment="1"/>
    <xf numFmtId="4" fontId="4" fillId="0" borderId="9" xfId="0" applyNumberFormat="1" applyFont="1" applyBorder="1" applyAlignment="1"/>
    <xf numFmtId="0" fontId="4" fillId="0" borderId="17" xfId="0" applyNumberFormat="1" applyFont="1" applyBorder="1" applyAlignment="1">
      <alignment horizontal="center"/>
    </xf>
    <xf numFmtId="0" fontId="4" fillId="0" borderId="18" xfId="0" applyNumberFormat="1" applyFont="1" applyBorder="1" applyAlignment="1">
      <alignment horizontal="center" wrapText="1"/>
    </xf>
    <xf numFmtId="0" fontId="4" fillId="0" borderId="19" xfId="0" applyNumberFormat="1" applyFont="1" applyBorder="1" applyAlignment="1">
      <alignment horizontal="center" vertical="center" wrapText="1"/>
    </xf>
    <xf numFmtId="0" fontId="13" fillId="0" borderId="0" xfId="2" applyNumberFormat="1" applyFont="1" applyAlignment="1"/>
    <xf numFmtId="0" fontId="14" fillId="0" borderId="0" xfId="2" applyNumberFormat="1" applyFont="1" applyAlignment="1"/>
    <xf numFmtId="0" fontId="15" fillId="0" borderId="0" xfId="2" applyNumberFormat="1" applyFont="1"/>
    <xf numFmtId="0" fontId="8" fillId="0" borderId="14" xfId="0" applyNumberFormat="1" applyFont="1" applyBorder="1" applyAlignment="1"/>
    <xf numFmtId="0" fontId="4" fillId="0" borderId="0" xfId="0" applyNumberFormat="1" applyFont="1" applyBorder="1" applyAlignment="1"/>
    <xf numFmtId="0" fontId="4" fillId="0" borderId="8" xfId="0" applyNumberFormat="1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0" fillId="0" borderId="14" xfId="0" applyBorder="1"/>
    <xf numFmtId="0" fontId="0" fillId="0" borderId="15" xfId="0" applyBorder="1"/>
    <xf numFmtId="0" fontId="13" fillId="0" borderId="0" xfId="2" applyNumberFormat="1" applyFont="1" applyAlignment="1">
      <alignment horizontal="centerContinuous"/>
    </xf>
    <xf numFmtId="0" fontId="8" fillId="0" borderId="14" xfId="0" applyNumberFormat="1" applyFont="1" applyBorder="1" applyAlignment="1">
      <alignment horizontal="right"/>
    </xf>
    <xf numFmtId="0" fontId="1" fillId="0" borderId="0" xfId="0" applyNumberFormat="1" applyFont="1" applyBorder="1" applyAlignment="1"/>
    <xf numFmtId="2" fontId="4" fillId="0" borderId="0" xfId="0" applyNumberFormat="1" applyFont="1" applyAlignment="1"/>
    <xf numFmtId="0" fontId="1" fillId="0" borderId="0" xfId="0" applyNumberFormat="1" applyFont="1" applyAlignment="1" applyProtection="1">
      <protection locked="0"/>
    </xf>
    <xf numFmtId="0" fontId="15" fillId="0" borderId="0" xfId="2" applyFont="1"/>
    <xf numFmtId="0" fontId="16" fillId="0" borderId="11" xfId="0" applyFont="1" applyBorder="1" applyAlignment="1" applyProtection="1">
      <alignment horizontal="left"/>
    </xf>
    <xf numFmtId="164" fontId="4" fillId="0" borderId="2" xfId="0" applyNumberFormat="1" applyFont="1" applyBorder="1" applyAlignment="1" applyProtection="1">
      <protection hidden="1"/>
    </xf>
    <xf numFmtId="0" fontId="15" fillId="0" borderId="0" xfId="2" applyNumberFormat="1" applyFont="1" applyAlignment="1"/>
    <xf numFmtId="0" fontId="8" fillId="0" borderId="0" xfId="0" applyNumberFormat="1" applyFont="1" applyBorder="1" applyAlignment="1">
      <alignment horizontal="center"/>
    </xf>
    <xf numFmtId="0" fontId="8" fillId="0" borderId="15" xfId="0" applyNumberFormat="1" applyFont="1" applyBorder="1" applyAlignment="1">
      <alignment horizontal="center"/>
    </xf>
    <xf numFmtId="2" fontId="4" fillId="0" borderId="8" xfId="0" applyNumberFormat="1" applyFont="1" applyBorder="1" applyAlignment="1"/>
    <xf numFmtId="0" fontId="16" fillId="0" borderId="14" xfId="0" applyFont="1" applyBorder="1" applyAlignment="1" applyProtection="1">
      <alignment horizontal="left"/>
    </xf>
    <xf numFmtId="164" fontId="4" fillId="0" borderId="5" xfId="0" applyNumberFormat="1" applyFont="1" applyBorder="1" applyAlignment="1" applyProtection="1">
      <protection hidden="1"/>
    </xf>
    <xf numFmtId="0" fontId="4" fillId="0" borderId="21" xfId="0" applyNumberFormat="1" applyFont="1" applyBorder="1" applyAlignment="1">
      <alignment horizontal="center"/>
    </xf>
    <xf numFmtId="0" fontId="13" fillId="0" borderId="0" xfId="2" applyNumberFormat="1" applyFont="1" applyBorder="1" applyAlignment="1"/>
    <xf numFmtId="2" fontId="8" fillId="0" borderId="0" xfId="0" applyNumberFormat="1" applyFont="1" applyBorder="1" applyAlignment="1"/>
    <xf numFmtId="2" fontId="8" fillId="0" borderId="15" xfId="0" applyNumberFormat="1" applyFont="1" applyBorder="1" applyAlignment="1"/>
    <xf numFmtId="164" fontId="4" fillId="0" borderId="2" xfId="0" applyNumberFormat="1" applyFont="1" applyBorder="1" applyAlignment="1" applyProtection="1">
      <alignment horizontal="center"/>
      <protection hidden="1"/>
    </xf>
    <xf numFmtId="0" fontId="13" fillId="0" borderId="10" xfId="2" applyNumberFormat="1" applyFont="1" applyBorder="1" applyAlignment="1">
      <alignment horizontal="center"/>
    </xf>
    <xf numFmtId="0" fontId="13" fillId="0" borderId="10" xfId="2" applyNumberFormat="1" applyFont="1" applyBorder="1" applyAlignment="1"/>
    <xf numFmtId="164" fontId="4" fillId="0" borderId="5" xfId="0" applyNumberFormat="1" applyFont="1" applyBorder="1" applyAlignment="1" applyProtection="1">
      <alignment horizontal="center"/>
      <protection hidden="1"/>
    </xf>
    <xf numFmtId="164" fontId="4" fillId="0" borderId="21" xfId="0" applyNumberFormat="1" applyFont="1" applyBorder="1" applyAlignment="1" applyProtection="1">
      <alignment horizontal="center"/>
      <protection locked="0" hidden="1"/>
    </xf>
    <xf numFmtId="0" fontId="13" fillId="0" borderId="0" xfId="2" applyNumberFormat="1" applyFont="1" applyBorder="1" applyAlignment="1">
      <alignment horizontal="center"/>
    </xf>
    <xf numFmtId="10" fontId="8" fillId="0" borderId="0" xfId="0" applyNumberFormat="1" applyFont="1" applyBorder="1" applyAlignment="1"/>
    <xf numFmtId="164" fontId="4" fillId="0" borderId="22" xfId="0" applyNumberFormat="1" applyFont="1" applyBorder="1" applyAlignment="1" applyProtection="1">
      <alignment horizontal="center"/>
      <protection locked="0" hidden="1"/>
    </xf>
    <xf numFmtId="4" fontId="13" fillId="0" borderId="23" xfId="2" applyNumberFormat="1" applyFont="1" applyBorder="1" applyAlignment="1"/>
    <xf numFmtId="0" fontId="13" fillId="0" borderId="23" xfId="2" applyNumberFormat="1" applyFont="1" applyBorder="1" applyAlignment="1"/>
    <xf numFmtId="0" fontId="18" fillId="0" borderId="0" xfId="0" applyNumberFormat="1" applyFont="1" applyAlignment="1"/>
    <xf numFmtId="4" fontId="13" fillId="0" borderId="24" xfId="2" applyNumberFormat="1" applyFont="1" applyBorder="1" applyAlignment="1"/>
    <xf numFmtId="0" fontId="13" fillId="0" borderId="24" xfId="2" applyNumberFormat="1" applyFont="1" applyBorder="1" applyAlignment="1"/>
    <xf numFmtId="165" fontId="8" fillId="0" borderId="0" xfId="0" applyNumberFormat="1" applyFont="1" applyBorder="1" applyAlignment="1"/>
    <xf numFmtId="164" fontId="4" fillId="0" borderId="26" xfId="0" applyNumberFormat="1" applyFont="1" applyBorder="1" applyAlignment="1" applyProtection="1">
      <alignment horizontal="center"/>
      <protection hidden="1"/>
    </xf>
    <xf numFmtId="164" fontId="4" fillId="0" borderId="27" xfId="0" applyNumberFormat="1" applyFont="1" applyBorder="1" applyAlignment="1" applyProtection="1">
      <alignment horizontal="center"/>
      <protection locked="0" hidden="1"/>
    </xf>
    <xf numFmtId="2" fontId="8" fillId="0" borderId="0" xfId="0" applyNumberFormat="1" applyFont="1" applyBorder="1" applyAlignment="1">
      <alignment horizontal="fill"/>
    </xf>
    <xf numFmtId="2" fontId="8" fillId="0" borderId="15" xfId="0" applyNumberFormat="1" applyFont="1" applyBorder="1" applyAlignment="1">
      <alignment horizontal="fill"/>
    </xf>
    <xf numFmtId="2" fontId="1" fillId="0" borderId="0" xfId="0" applyNumberFormat="1" applyFont="1" applyProtection="1">
      <protection locked="0"/>
    </xf>
    <xf numFmtId="166" fontId="15" fillId="0" borderId="0" xfId="2" applyNumberFormat="1" applyFont="1"/>
    <xf numFmtId="164" fontId="8" fillId="0" borderId="0" xfId="0" applyNumberFormat="1" applyFont="1" applyAlignment="1" applyProtection="1">
      <protection hidden="1"/>
    </xf>
    <xf numFmtId="164" fontId="8" fillId="0" borderId="0" xfId="0" applyNumberFormat="1" applyFont="1" applyAlignment="1" applyProtection="1">
      <protection locked="0" hidden="1"/>
    </xf>
    <xf numFmtId="4" fontId="13" fillId="0" borderId="28" xfId="2" applyNumberFormat="1" applyFont="1" applyBorder="1" applyAlignment="1"/>
    <xf numFmtId="0" fontId="13" fillId="0" borderId="28" xfId="2" applyNumberFormat="1" applyFont="1" applyBorder="1" applyAlignment="1"/>
    <xf numFmtId="2" fontId="4" fillId="0" borderId="5" xfId="0" applyNumberFormat="1" applyFont="1" applyBorder="1" applyAlignment="1"/>
    <xf numFmtId="0" fontId="4" fillId="0" borderId="0" xfId="0" applyNumberFormat="1" applyFont="1" applyAlignment="1">
      <alignment horizontal="right"/>
    </xf>
    <xf numFmtId="0" fontId="13" fillId="0" borderId="0" xfId="2" applyNumberFormat="1" applyFont="1" applyAlignment="1">
      <alignment horizontal="left"/>
    </xf>
    <xf numFmtId="0" fontId="13" fillId="0" borderId="0" xfId="2" applyNumberFormat="1" applyFont="1" applyBorder="1" applyAlignment="1">
      <alignment horizontal="right"/>
    </xf>
    <xf numFmtId="4" fontId="13" fillId="0" borderId="10" xfId="2" applyNumberFormat="1" applyFont="1" applyBorder="1" applyAlignment="1"/>
    <xf numFmtId="0" fontId="8" fillId="0" borderId="3" xfId="0" applyNumberFormat="1" applyFont="1" applyBorder="1" applyAlignment="1"/>
    <xf numFmtId="0" fontId="4" fillId="0" borderId="5" xfId="0" applyNumberFormat="1" applyFont="1" applyBorder="1" applyAlignment="1">
      <alignment horizontal="center"/>
    </xf>
    <xf numFmtId="2" fontId="8" fillId="0" borderId="8" xfId="0" applyNumberFormat="1" applyFont="1" applyBorder="1" applyAlignment="1"/>
    <xf numFmtId="0" fontId="4" fillId="0" borderId="0" xfId="0" applyNumberFormat="1" applyFont="1" applyAlignment="1">
      <alignment horizontal="fill"/>
    </xf>
    <xf numFmtId="0" fontId="2" fillId="0" borderId="0" xfId="0" applyNumberFormat="1" applyFont="1" applyAlignment="1"/>
    <xf numFmtId="0" fontId="5" fillId="0" borderId="9" xfId="0" applyNumberFormat="1" applyFont="1" applyBorder="1" applyAlignment="1"/>
    <xf numFmtId="0" fontId="5" fillId="0" borderId="8" xfId="0" applyNumberFormat="1" applyFont="1" applyBorder="1" applyAlignment="1"/>
    <xf numFmtId="0" fontId="1" fillId="0" borderId="3" xfId="0" applyNumberFormat="1" applyFont="1" applyBorder="1" applyAlignment="1"/>
    <xf numFmtId="0" fontId="4" fillId="0" borderId="5" xfId="0" applyNumberFormat="1" applyFont="1" applyBorder="1" applyAlignment="1">
      <alignment horizontal="fill"/>
    </xf>
    <xf numFmtId="2" fontId="8" fillId="0" borderId="0" xfId="0" applyNumberFormat="1" applyFont="1" applyAlignment="1"/>
    <xf numFmtId="0" fontId="4" fillId="0" borderId="9" xfId="0" applyNumberFormat="1" applyFont="1" applyBorder="1" applyAlignment="1">
      <alignment horizontal="center" vertical="center" wrapText="1"/>
    </xf>
    <xf numFmtId="0" fontId="8" fillId="0" borderId="9" xfId="0" applyNumberFormat="1" applyFont="1" applyBorder="1" applyAlignment="1"/>
    <xf numFmtId="0" fontId="8" fillId="0" borderId="8" xfId="0" applyNumberFormat="1" applyFont="1" applyBorder="1" applyAlignment="1">
      <alignment horizontal="fill"/>
    </xf>
    <xf numFmtId="0" fontId="8" fillId="0" borderId="6" xfId="0" applyNumberFormat="1" applyFont="1" applyBorder="1" applyAlignment="1"/>
    <xf numFmtId="0" fontId="8" fillId="0" borderId="8" xfId="0" quotePrefix="1" applyNumberFormat="1" applyFont="1" applyBorder="1" applyAlignment="1"/>
    <xf numFmtId="0" fontId="4" fillId="0" borderId="14" xfId="0" applyNumberFormat="1" applyFont="1" applyBorder="1" applyAlignment="1">
      <alignment horizontal="right"/>
    </xf>
    <xf numFmtId="0" fontId="9" fillId="0" borderId="10" xfId="0" applyNumberFormat="1" applyFont="1" applyBorder="1" applyAlignment="1"/>
    <xf numFmtId="0" fontId="10" fillId="0" borderId="7" xfId="0" applyNumberFormat="1" applyFont="1" applyBorder="1" applyAlignment="1"/>
    <xf numFmtId="4" fontId="10" fillId="0" borderId="7" xfId="0" applyNumberFormat="1" applyFont="1" applyBorder="1" applyAlignment="1"/>
    <xf numFmtId="4" fontId="9" fillId="0" borderId="7" xfId="0" applyNumberFormat="1" applyFont="1" applyBorder="1" applyAlignment="1"/>
    <xf numFmtId="4" fontId="9" fillId="0" borderId="7" xfId="0" applyNumberFormat="1" applyFont="1" applyFill="1" applyBorder="1" applyAlignment="1"/>
    <xf numFmtId="4" fontId="10" fillId="0" borderId="7" xfId="0" applyNumberFormat="1" applyFont="1" applyBorder="1" applyAlignment="1" applyProtection="1">
      <protection locked="0"/>
    </xf>
    <xf numFmtId="0" fontId="19" fillId="0" borderId="7" xfId="0" applyNumberFormat="1" applyFont="1" applyBorder="1" applyAlignment="1"/>
    <xf numFmtId="0" fontId="8" fillId="0" borderId="0" xfId="0" applyNumberFormat="1" applyFont="1" applyBorder="1" applyAlignment="1">
      <alignment horizontal="fill"/>
    </xf>
    <xf numFmtId="1" fontId="1" fillId="0" borderId="0" xfId="0" applyNumberFormat="1" applyFont="1"/>
    <xf numFmtId="4" fontId="1" fillId="0" borderId="0" xfId="0" applyNumberFormat="1" applyFont="1"/>
    <xf numFmtId="4" fontId="1" fillId="0" borderId="0" xfId="0" applyNumberFormat="1" applyFont="1" applyProtection="1">
      <protection locked="0"/>
    </xf>
    <xf numFmtId="4" fontId="13" fillId="0" borderId="7" xfId="2" applyNumberFormat="1" applyFont="1" applyBorder="1" applyAlignment="1"/>
    <xf numFmtId="3" fontId="8" fillId="0" borderId="0" xfId="0" applyNumberFormat="1" applyFont="1" applyBorder="1" applyAlignment="1"/>
    <xf numFmtId="166" fontId="20" fillId="0" borderId="0" xfId="0" applyNumberFormat="1" applyFont="1" applyAlignment="1">
      <alignment horizontal="left" indent="4"/>
    </xf>
    <xf numFmtId="2" fontId="2" fillId="0" borderId="0" xfId="0" applyNumberFormat="1" applyFont="1" applyBorder="1" applyAlignment="1"/>
    <xf numFmtId="0" fontId="8" fillId="0" borderId="0" xfId="0" applyNumberFormat="1" applyFont="1" applyBorder="1" applyAlignment="1">
      <alignment horizontal="right"/>
    </xf>
    <xf numFmtId="0" fontId="16" fillId="0" borderId="25" xfId="0" quotePrefix="1" applyFont="1" applyBorder="1" applyAlignment="1" applyProtection="1">
      <alignment horizontal="left"/>
    </xf>
    <xf numFmtId="0" fontId="8" fillId="0" borderId="14" xfId="0" applyNumberFormat="1" applyFont="1" applyBorder="1" applyAlignment="1">
      <alignment horizontal="fill"/>
    </xf>
    <xf numFmtId="0" fontId="8" fillId="0" borderId="25" xfId="0" applyNumberFormat="1" applyFont="1" applyBorder="1" applyAlignment="1"/>
    <xf numFmtId="0" fontId="8" fillId="0" borderId="30" xfId="0" applyNumberFormat="1" applyFont="1" applyBorder="1" applyAlignment="1"/>
    <xf numFmtId="0" fontId="8" fillId="0" borderId="31" xfId="0" applyNumberFormat="1" applyFont="1" applyBorder="1" applyAlignment="1"/>
    <xf numFmtId="0" fontId="1" fillId="0" borderId="3" xfId="0" applyNumberFormat="1" applyFont="1" applyBorder="1"/>
    <xf numFmtId="0" fontId="21" fillId="0" borderId="0" xfId="0" applyNumberFormat="1" applyFont="1" applyAlignment="1">
      <alignment horizontal="fill"/>
    </xf>
    <xf numFmtId="0" fontId="10" fillId="0" borderId="0" xfId="0" applyNumberFormat="1" applyFont="1" applyAlignment="1"/>
    <xf numFmtId="0" fontId="22" fillId="0" borderId="0" xfId="0" applyNumberFormat="1" applyFont="1" applyAlignment="1"/>
    <xf numFmtId="0" fontId="9" fillId="0" borderId="0" xfId="0" applyNumberFormat="1" applyFont="1" applyAlignment="1"/>
    <xf numFmtId="4" fontId="9" fillId="0" borderId="0" xfId="0" applyNumberFormat="1" applyFont="1" applyAlignment="1"/>
    <xf numFmtId="0" fontId="1" fillId="0" borderId="0" xfId="0" applyNumberFormat="1" applyFont="1"/>
    <xf numFmtId="0" fontId="1" fillId="0" borderId="8" xfId="0" applyNumberFormat="1" applyFont="1" applyBorder="1"/>
    <xf numFmtId="164" fontId="16" fillId="0" borderId="0" xfId="3" applyNumberFormat="1" applyFont="1" applyAlignment="1" applyProtection="1">
      <alignment horizontal="left"/>
    </xf>
    <xf numFmtId="164" fontId="16" fillId="0" borderId="0" xfId="3" applyNumberFormat="1" applyFont="1" applyProtection="1"/>
    <xf numFmtId="0" fontId="16" fillId="0" borderId="0" xfId="3" applyFont="1" applyAlignment="1" applyProtection="1">
      <alignment horizontal="left"/>
    </xf>
    <xf numFmtId="0" fontId="16" fillId="0" borderId="0" xfId="3" applyFont="1"/>
    <xf numFmtId="0" fontId="16" fillId="0" borderId="0" xfId="3" quotePrefix="1" applyFont="1" applyAlignment="1">
      <alignment horizontal="left"/>
    </xf>
    <xf numFmtId="0" fontId="16" fillId="0" borderId="0" xfId="3" applyFont="1" applyAlignment="1" applyProtection="1">
      <alignment horizontal="right"/>
    </xf>
    <xf numFmtId="0" fontId="16" fillId="0" borderId="0" xfId="3" quotePrefix="1" applyFont="1" applyAlignment="1" applyProtection="1">
      <alignment horizontal="left"/>
    </xf>
    <xf numFmtId="164" fontId="16" fillId="0" borderId="0" xfId="3" applyNumberFormat="1" applyFont="1"/>
    <xf numFmtId="0" fontId="24" fillId="0" borderId="0" xfId="3" applyFont="1" applyProtection="1">
      <protection locked="0"/>
    </xf>
    <xf numFmtId="0" fontId="23" fillId="0" borderId="0" xfId="3"/>
    <xf numFmtId="0" fontId="16" fillId="0" borderId="0" xfId="3" applyFont="1" applyAlignment="1" applyProtection="1">
      <alignment horizontal="center"/>
    </xf>
    <xf numFmtId="0" fontId="16" fillId="0" borderId="23" xfId="3" applyFont="1" applyBorder="1" applyAlignment="1" applyProtection="1">
      <alignment horizontal="left"/>
    </xf>
    <xf numFmtId="0" fontId="16" fillId="0" borderId="11" xfId="3" applyFont="1" applyBorder="1" applyAlignment="1" applyProtection="1">
      <alignment horizontal="left"/>
    </xf>
    <xf numFmtId="0" fontId="16" fillId="0" borderId="13" xfId="3" applyFont="1" applyBorder="1" applyAlignment="1"/>
    <xf numFmtId="0" fontId="16" fillId="0" borderId="23" xfId="3" applyNumberFormat="1" applyFont="1" applyBorder="1" applyProtection="1"/>
    <xf numFmtId="0" fontId="16" fillId="0" borderId="23" xfId="3" applyFont="1" applyBorder="1"/>
    <xf numFmtId="0" fontId="16" fillId="0" borderId="0" xfId="3" applyFont="1" applyBorder="1"/>
    <xf numFmtId="0" fontId="16" fillId="0" borderId="24" xfId="3" applyFont="1" applyBorder="1" applyAlignment="1" applyProtection="1">
      <alignment horizontal="left"/>
    </xf>
    <xf numFmtId="0" fontId="16" fillId="0" borderId="14" xfId="3" applyFont="1" applyBorder="1" applyAlignment="1" applyProtection="1">
      <alignment horizontal="left"/>
    </xf>
    <xf numFmtId="0" fontId="16" fillId="0" borderId="15" xfId="3" applyFont="1" applyBorder="1"/>
    <xf numFmtId="0" fontId="16" fillId="0" borderId="24" xfId="3" applyNumberFormat="1" applyFont="1" applyBorder="1" applyProtection="1"/>
    <xf numFmtId="0" fontId="16" fillId="0" borderId="24" xfId="3" applyFont="1" applyBorder="1"/>
    <xf numFmtId="0" fontId="16" fillId="0" borderId="0" xfId="3" applyFont="1" applyProtection="1"/>
    <xf numFmtId="0" fontId="16" fillId="0" borderId="15" xfId="3" applyFont="1" applyBorder="1" applyAlignment="1"/>
    <xf numFmtId="0" fontId="16" fillId="0" borderId="24" xfId="3" quotePrefix="1" applyFont="1" applyBorder="1" applyAlignment="1" applyProtection="1">
      <alignment horizontal="left"/>
    </xf>
    <xf numFmtId="166" fontId="16" fillId="0" borderId="24" xfId="3" applyNumberFormat="1" applyFont="1" applyBorder="1" applyProtection="1"/>
    <xf numFmtId="39" fontId="16" fillId="0" borderId="24" xfId="3" applyNumberFormat="1" applyFont="1" applyBorder="1" applyProtection="1"/>
    <xf numFmtId="0" fontId="16" fillId="0" borderId="24" xfId="3" applyFont="1" applyBorder="1" applyAlignment="1" applyProtection="1"/>
    <xf numFmtId="0" fontId="16" fillId="0" borderId="15" xfId="3" applyFont="1" applyBorder="1" applyAlignment="1" applyProtection="1">
      <alignment horizontal="fill"/>
    </xf>
    <xf numFmtId="0" fontId="16" fillId="0" borderId="28" xfId="3" applyFont="1" applyBorder="1"/>
    <xf numFmtId="0" fontId="16" fillId="0" borderId="25" xfId="3" quotePrefix="1" applyFont="1" applyBorder="1" applyAlignment="1" applyProtection="1">
      <alignment horizontal="left"/>
    </xf>
    <xf numFmtId="0" fontId="16" fillId="0" borderId="31" xfId="3" applyFont="1" applyBorder="1"/>
    <xf numFmtId="166" fontId="16" fillId="0" borderId="28" xfId="3" applyNumberFormat="1" applyFont="1" applyBorder="1" applyProtection="1"/>
    <xf numFmtId="0" fontId="13" fillId="0" borderId="11" xfId="3" applyFont="1" applyBorder="1" applyAlignment="1" applyProtection="1">
      <alignment horizontal="left"/>
    </xf>
    <xf numFmtId="0" fontId="13" fillId="0" borderId="13" xfId="3" applyFont="1" applyBorder="1" applyProtection="1"/>
    <xf numFmtId="0" fontId="25" fillId="0" borderId="0" xfId="3" applyFont="1"/>
    <xf numFmtId="0" fontId="16" fillId="0" borderId="0" xfId="3" applyNumberFormat="1" applyFont="1"/>
    <xf numFmtId="167" fontId="16" fillId="0" borderId="0" xfId="3" applyNumberFormat="1" applyFont="1"/>
    <xf numFmtId="0" fontId="13" fillId="0" borderId="14" xfId="3" applyFont="1" applyBorder="1" applyAlignment="1" applyProtection="1">
      <alignment horizontal="left"/>
    </xf>
    <xf numFmtId="0" fontId="13" fillId="0" borderId="15" xfId="3" applyFont="1" applyBorder="1" applyProtection="1"/>
    <xf numFmtId="0" fontId="25" fillId="0" borderId="0" xfId="3" applyFont="1" applyAlignment="1">
      <alignment horizontal="right"/>
    </xf>
    <xf numFmtId="49" fontId="16" fillId="0" borderId="0" xfId="3" applyNumberFormat="1" applyFont="1" applyAlignment="1">
      <alignment horizontal="left"/>
    </xf>
    <xf numFmtId="0" fontId="13" fillId="0" borderId="14" xfId="3" quotePrefix="1" applyFont="1" applyBorder="1" applyAlignment="1" applyProtection="1">
      <alignment horizontal="left"/>
    </xf>
    <xf numFmtId="0" fontId="13" fillId="0" borderId="25" xfId="3" applyFont="1" applyBorder="1" applyAlignment="1" applyProtection="1">
      <alignment horizontal="left"/>
    </xf>
    <xf numFmtId="0" fontId="13" fillId="0" borderId="31" xfId="3" applyFont="1" applyBorder="1" applyProtection="1"/>
    <xf numFmtId="0" fontId="13" fillId="0" borderId="0" xfId="3" applyFont="1" applyAlignment="1" applyProtection="1">
      <alignment horizontal="left"/>
    </xf>
    <xf numFmtId="14" fontId="16" fillId="0" borderId="0" xfId="3" applyNumberFormat="1" applyFont="1"/>
    <xf numFmtId="4" fontId="4" fillId="0" borderId="26" xfId="0" applyNumberFormat="1" applyFont="1" applyFill="1" applyBorder="1" applyAlignment="1" applyProtection="1">
      <protection locked="0"/>
    </xf>
    <xf numFmtId="0" fontId="4" fillId="0" borderId="7" xfId="0" applyNumberFormat="1" applyFont="1" applyBorder="1" applyAlignment="1">
      <alignment horizontal="center" vertical="center" wrapText="1"/>
    </xf>
    <xf numFmtId="4" fontId="10" fillId="0" borderId="7" xfId="0" applyNumberFormat="1" applyFont="1" applyFill="1" applyBorder="1" applyAlignment="1" applyProtection="1">
      <protection locked="0"/>
    </xf>
    <xf numFmtId="0" fontId="10" fillId="0" borderId="7" xfId="0" applyNumberFormat="1" applyFont="1" applyFill="1" applyBorder="1" applyAlignment="1" applyProtection="1">
      <protection locked="0"/>
    </xf>
    <xf numFmtId="0" fontId="10" fillId="0" borderId="36" xfId="0" applyNumberFormat="1" applyFont="1" applyBorder="1" applyAlignment="1">
      <alignment horizontal="center"/>
    </xf>
    <xf numFmtId="0" fontId="0" fillId="0" borderId="37" xfId="0" applyBorder="1"/>
    <xf numFmtId="0" fontId="10" fillId="0" borderId="38" xfId="0" applyNumberFormat="1" applyFont="1" applyBorder="1" applyAlignment="1">
      <alignment horizontal="center"/>
    </xf>
    <xf numFmtId="164" fontId="10" fillId="0" borderId="36" xfId="0" applyNumberFormat="1" applyFont="1" applyBorder="1" applyAlignment="1" applyProtection="1">
      <protection hidden="1"/>
    </xf>
    <xf numFmtId="4" fontId="10" fillId="0" borderId="36" xfId="0" applyNumberFormat="1" applyFont="1" applyBorder="1" applyAlignment="1"/>
    <xf numFmtId="4" fontId="9" fillId="0" borderId="36" xfId="0" applyNumberFormat="1" applyFont="1" applyBorder="1" applyAlignment="1"/>
    <xf numFmtId="164" fontId="2" fillId="2" borderId="36" xfId="0" applyNumberFormat="1" applyFont="1" applyFill="1" applyBorder="1" applyAlignment="1" applyProtection="1">
      <protection hidden="1"/>
    </xf>
    <xf numFmtId="0" fontId="10" fillId="2" borderId="36" xfId="0" applyNumberFormat="1" applyFont="1" applyFill="1" applyBorder="1" applyAlignment="1"/>
    <xf numFmtId="0" fontId="9" fillId="0" borderId="1" xfId="0" applyNumberFormat="1" applyFont="1" applyBorder="1" applyAlignment="1">
      <alignment horizontal="center"/>
    </xf>
    <xf numFmtId="4" fontId="9" fillId="3" borderId="10" xfId="0" applyNumberFormat="1" applyFont="1" applyFill="1" applyBorder="1" applyAlignment="1" applyProtection="1">
      <protection locked="0"/>
    </xf>
    <xf numFmtId="0" fontId="4" fillId="3" borderId="20" xfId="0" applyNumberFormat="1" applyFont="1" applyFill="1" applyBorder="1" applyAlignment="1" applyProtection="1">
      <protection locked="0"/>
    </xf>
    <xf numFmtId="0" fontId="4" fillId="3" borderId="14" xfId="0" applyNumberFormat="1" applyFont="1" applyFill="1" applyBorder="1" applyAlignment="1" applyProtection="1">
      <protection locked="0"/>
    </xf>
    <xf numFmtId="0" fontId="4" fillId="3" borderId="25" xfId="0" applyNumberFormat="1" applyFont="1" applyFill="1" applyBorder="1" applyAlignment="1" applyProtection="1">
      <protection locked="0"/>
    </xf>
    <xf numFmtId="4" fontId="10" fillId="3" borderId="2" xfId="0" applyNumberFormat="1" applyFont="1" applyFill="1" applyBorder="1" applyAlignment="1" applyProtection="1">
      <protection locked="0"/>
    </xf>
    <xf numFmtId="4" fontId="10" fillId="3" borderId="21" xfId="0" applyNumberFormat="1" applyFont="1" applyFill="1" applyBorder="1" applyAlignment="1" applyProtection="1">
      <protection locked="0"/>
    </xf>
    <xf numFmtId="0" fontId="10" fillId="3" borderId="5" xfId="0" applyNumberFormat="1" applyFont="1" applyFill="1" applyBorder="1" applyAlignment="1" applyProtection="1">
      <protection locked="0"/>
    </xf>
    <xf numFmtId="4" fontId="4" fillId="3" borderId="26" xfId="0" applyNumberFormat="1" applyFont="1" applyFill="1" applyBorder="1" applyAlignment="1"/>
    <xf numFmtId="167" fontId="13" fillId="3" borderId="1" xfId="2" applyNumberFormat="1" applyFont="1" applyFill="1" applyBorder="1" applyAlignment="1" applyProtection="1">
      <protection locked="0"/>
    </xf>
    <xf numFmtId="0" fontId="10" fillId="3" borderId="7" xfId="0" applyNumberFormat="1" applyFont="1" applyFill="1" applyBorder="1" applyAlignment="1" applyProtection="1">
      <protection locked="0"/>
    </xf>
    <xf numFmtId="0" fontId="5" fillId="3" borderId="6" xfId="0" applyNumberFormat="1" applyFont="1" applyFill="1" applyBorder="1" applyAlignment="1" applyProtection="1">
      <alignment horizontal="center"/>
      <protection locked="0"/>
    </xf>
    <xf numFmtId="0" fontId="9" fillId="3" borderId="7" xfId="0" applyNumberFormat="1" applyFont="1" applyFill="1" applyBorder="1" applyAlignment="1" applyProtection="1">
      <protection locked="0"/>
    </xf>
    <xf numFmtId="4" fontId="10" fillId="3" borderId="7" xfId="0" applyNumberFormat="1" applyFont="1" applyFill="1" applyBorder="1" applyAlignment="1" applyProtection="1">
      <protection locked="0"/>
    </xf>
    <xf numFmtId="168" fontId="4" fillId="3" borderId="1" xfId="0" applyNumberFormat="1" applyFont="1" applyFill="1" applyBorder="1" applyAlignment="1"/>
    <xf numFmtId="0" fontId="8" fillId="3" borderId="1" xfId="0" applyNumberFormat="1" applyFont="1" applyFill="1" applyBorder="1" applyAlignment="1"/>
    <xf numFmtId="49" fontId="13" fillId="3" borderId="5" xfId="2" applyNumberFormat="1" applyFont="1" applyFill="1" applyBorder="1" applyAlignment="1" applyProtection="1">
      <protection locked="0"/>
    </xf>
    <xf numFmtId="10" fontId="10" fillId="3" borderId="29" xfId="0" applyNumberFormat="1" applyFont="1" applyFill="1" applyBorder="1" applyAlignment="1" applyProtection="1">
      <protection locked="0"/>
    </xf>
    <xf numFmtId="0" fontId="9" fillId="4" borderId="32" xfId="0" applyNumberFormat="1" applyFont="1" applyFill="1" applyBorder="1" applyAlignment="1"/>
    <xf numFmtId="0" fontId="9" fillId="4" borderId="32" xfId="0" applyNumberFormat="1" applyFont="1" applyFill="1" applyBorder="1" applyAlignment="1">
      <alignment horizontal="fill"/>
    </xf>
    <xf numFmtId="4" fontId="9" fillId="4" borderId="32" xfId="0" applyNumberFormat="1" applyFont="1" applyFill="1" applyBorder="1" applyAlignment="1"/>
    <xf numFmtId="0" fontId="2" fillId="4" borderId="32" xfId="0" applyNumberFormat="1" applyFont="1" applyFill="1" applyBorder="1" applyAlignment="1"/>
    <xf numFmtId="0" fontId="9" fillId="4" borderId="39" xfId="0" applyNumberFormat="1" applyFont="1" applyFill="1" applyBorder="1" applyAlignment="1">
      <alignment horizontal="fill"/>
    </xf>
    <xf numFmtId="0" fontId="9" fillId="4" borderId="33" xfId="0" applyNumberFormat="1" applyFont="1" applyFill="1" applyBorder="1" applyAlignment="1">
      <alignment horizontal="fill"/>
    </xf>
    <xf numFmtId="0" fontId="4" fillId="0" borderId="40" xfId="0" applyNumberFormat="1" applyFont="1" applyBorder="1" applyAlignment="1">
      <alignment horizontal="center"/>
    </xf>
    <xf numFmtId="0" fontId="13" fillId="3" borderId="1" xfId="2" applyNumberFormat="1" applyFont="1" applyFill="1" applyBorder="1" applyAlignment="1" applyProtection="1">
      <protection locked="0"/>
    </xf>
    <xf numFmtId="0" fontId="13" fillId="3" borderId="16" xfId="2" applyNumberFormat="1" applyFont="1" applyFill="1" applyBorder="1" applyAlignment="1"/>
    <xf numFmtId="0" fontId="13" fillId="3" borderId="18" xfId="2" applyNumberFormat="1" applyFont="1" applyFill="1" applyBorder="1" applyAlignment="1"/>
    <xf numFmtId="0" fontId="13" fillId="3" borderId="19" xfId="2" applyNumberFormat="1" applyFont="1" applyFill="1" applyBorder="1" applyAlignment="1"/>
    <xf numFmtId="0" fontId="17" fillId="3" borderId="23" xfId="2" applyNumberFormat="1" applyFont="1" applyFill="1" applyBorder="1" applyAlignment="1"/>
    <xf numFmtId="0" fontId="17" fillId="3" borderId="24" xfId="2" applyNumberFormat="1" applyFont="1" applyFill="1" applyBorder="1" applyAlignment="1"/>
    <xf numFmtId="0" fontId="17" fillId="3" borderId="28" xfId="2" applyNumberFormat="1" applyFont="1" applyFill="1" applyBorder="1" applyAlignment="1"/>
    <xf numFmtId="0" fontId="16" fillId="5" borderId="16" xfId="3" applyFont="1" applyFill="1" applyBorder="1"/>
    <xf numFmtId="0" fontId="16" fillId="5" borderId="32" xfId="3" applyFont="1" applyFill="1" applyBorder="1"/>
    <xf numFmtId="0" fontId="16" fillId="5" borderId="33" xfId="3" applyFont="1" applyFill="1" applyBorder="1"/>
    <xf numFmtId="0" fontId="25" fillId="5" borderId="34" xfId="3" applyFont="1" applyFill="1" applyBorder="1" applyAlignment="1">
      <alignment horizontal="center"/>
    </xf>
    <xf numFmtId="0" fontId="25" fillId="5" borderId="35" xfId="3" applyFont="1" applyFill="1" applyBorder="1" applyAlignment="1">
      <alignment horizontal="center"/>
    </xf>
    <xf numFmtId="39" fontId="16" fillId="0" borderId="0" xfId="3" applyNumberFormat="1" applyFont="1" applyProtection="1"/>
    <xf numFmtId="0" fontId="10" fillId="3" borderId="7" xfId="4" applyNumberFormat="1" applyFont="1" applyFill="1" applyBorder="1" applyAlignment="1" applyProtection="1">
      <protection locked="0"/>
    </xf>
    <xf numFmtId="0" fontId="9" fillId="3" borderId="7" xfId="4" applyNumberFormat="1" applyFont="1" applyFill="1" applyBorder="1" applyAlignment="1" applyProtection="1">
      <protection locked="0"/>
    </xf>
    <xf numFmtId="4" fontId="10" fillId="3" borderId="42" xfId="4" applyNumberFormat="1" applyFont="1" applyFill="1" applyBorder="1" applyAlignment="1" applyProtection="1">
      <alignment horizontal="center"/>
      <protection locked="0"/>
    </xf>
    <xf numFmtId="0" fontId="5" fillId="3" borderId="41" xfId="4" applyNumberFormat="1" applyFont="1" applyFill="1" applyBorder="1" applyAlignment="1" applyProtection="1">
      <alignment horizontal="center"/>
      <protection locked="0"/>
    </xf>
    <xf numFmtId="0" fontId="13" fillId="3" borderId="16" xfId="2" quotePrefix="1" applyNumberFormat="1" applyFont="1" applyFill="1" applyBorder="1" applyAlignment="1" applyProtection="1">
      <protection locked="0"/>
    </xf>
    <xf numFmtId="0" fontId="13" fillId="3" borderId="33" xfId="2" quotePrefix="1" applyNumberFormat="1" applyFont="1" applyFill="1" applyBorder="1" applyAlignment="1" applyProtection="1">
      <protection locked="0"/>
    </xf>
    <xf numFmtId="49" fontId="13" fillId="3" borderId="1" xfId="2" applyNumberFormat="1" applyFont="1" applyFill="1" applyBorder="1" applyAlignment="1" applyProtection="1">
      <protection locked="0"/>
    </xf>
    <xf numFmtId="9" fontId="10" fillId="3" borderId="2" xfId="0" applyNumberFormat="1" applyFont="1" applyFill="1" applyBorder="1" applyAlignment="1" applyProtection="1">
      <protection locked="0"/>
    </xf>
    <xf numFmtId="10" fontId="10" fillId="3" borderId="5" xfId="0" applyNumberFormat="1" applyFont="1" applyFill="1" applyBorder="1" applyAlignment="1" applyProtection="1">
      <protection locked="0"/>
    </xf>
    <xf numFmtId="9" fontId="10" fillId="3" borderId="5" xfId="0" applyNumberFormat="1" applyFont="1" applyFill="1" applyBorder="1" applyAlignment="1" applyProtection="1">
      <protection locked="0"/>
    </xf>
    <xf numFmtId="49" fontId="10" fillId="3" borderId="7" xfId="4" applyNumberFormat="1" applyFont="1" applyFill="1" applyBorder="1" applyAlignment="1" applyProtection="1">
      <protection locked="0"/>
    </xf>
    <xf numFmtId="49" fontId="9" fillId="4" borderId="32" xfId="0" applyNumberFormat="1" applyFont="1" applyFill="1" applyBorder="1" applyAlignment="1">
      <alignment horizontal="fill"/>
    </xf>
    <xf numFmtId="49" fontId="10" fillId="0" borderId="0" xfId="0" applyNumberFormat="1" applyFont="1" applyAlignment="1"/>
    <xf numFmtId="49" fontId="9" fillId="0" borderId="0" xfId="0" applyNumberFormat="1" applyFont="1" applyAlignment="1"/>
    <xf numFmtId="49" fontId="1" fillId="0" borderId="0" xfId="0" applyNumberFormat="1" applyFont="1" applyAlignment="1"/>
    <xf numFmtId="49" fontId="9" fillId="4" borderId="16" xfId="0" applyNumberFormat="1" applyFont="1" applyFill="1" applyBorder="1" applyAlignment="1">
      <alignment horizontal="fill"/>
    </xf>
    <xf numFmtId="49" fontId="0" fillId="0" borderId="0" xfId="0" applyNumberFormat="1"/>
    <xf numFmtId="167" fontId="15" fillId="3" borderId="0" xfId="2" applyNumberFormat="1" applyFont="1" applyFill="1" applyBorder="1" applyAlignment="1" applyProtection="1">
      <protection locked="0"/>
    </xf>
    <xf numFmtId="1" fontId="13" fillId="3" borderId="43" xfId="2" applyNumberFormat="1" applyFont="1" applyFill="1" applyBorder="1" applyAlignment="1" applyProtection="1">
      <protection locked="0"/>
    </xf>
    <xf numFmtId="4" fontId="0" fillId="0" borderId="0" xfId="0" applyNumberFormat="1" applyBorder="1"/>
    <xf numFmtId="49" fontId="17" fillId="3" borderId="44" xfId="2" quotePrefix="1" applyNumberFormat="1" applyFont="1" applyFill="1" applyBorder="1" applyAlignment="1" applyProtection="1">
      <alignment horizontal="left"/>
      <protection locked="0"/>
    </xf>
    <xf numFmtId="49" fontId="16" fillId="0" borderId="0" xfId="3" applyNumberFormat="1" applyFont="1"/>
    <xf numFmtId="49" fontId="16" fillId="0" borderId="0" xfId="3" quotePrefix="1" applyNumberFormat="1" applyFont="1" applyAlignment="1" applyProtection="1">
      <alignment horizontal="left"/>
    </xf>
    <xf numFmtId="49" fontId="16" fillId="0" borderId="0" xfId="3" applyNumberFormat="1" applyFont="1" applyAlignment="1" applyProtection="1">
      <alignment horizontal="left"/>
    </xf>
    <xf numFmtId="169" fontId="0" fillId="0" borderId="0" xfId="0" applyNumberFormat="1"/>
    <xf numFmtId="0" fontId="13" fillId="0" borderId="0" xfId="2" applyNumberFormat="1" applyFont="1" applyAlignment="1">
      <alignment horizontal="center"/>
    </xf>
    <xf numFmtId="0" fontId="13" fillId="0" borderId="0" xfId="2" applyNumberFormat="1" applyFont="1" applyBorder="1" applyAlignment="1">
      <alignment horizontal="center"/>
    </xf>
    <xf numFmtId="0" fontId="4" fillId="3" borderId="25" xfId="0" applyNumberFormat="1" applyFont="1" applyFill="1" applyBorder="1" applyAlignment="1" applyProtection="1">
      <alignment horizontal="center"/>
      <protection locked="0"/>
    </xf>
    <xf numFmtId="0" fontId="4" fillId="3" borderId="31" xfId="0" applyNumberFormat="1" applyFont="1" applyFill="1" applyBorder="1" applyAlignment="1" applyProtection="1">
      <alignment horizontal="center"/>
      <protection locked="0"/>
    </xf>
    <xf numFmtId="0" fontId="4" fillId="3" borderId="16" xfId="0" applyNumberFormat="1" applyFont="1" applyFill="1" applyBorder="1" applyAlignment="1" applyProtection="1">
      <alignment horizontal="center" vertical="center"/>
      <protection locked="0"/>
    </xf>
    <xf numFmtId="0" fontId="4" fillId="3" borderId="32" xfId="0" applyNumberFormat="1" applyFont="1" applyFill="1" applyBorder="1" applyAlignment="1" applyProtection="1">
      <alignment horizontal="center" vertical="center"/>
      <protection locked="0"/>
    </xf>
    <xf numFmtId="0" fontId="4" fillId="3" borderId="33" xfId="0" applyNumberFormat="1" applyFont="1" applyFill="1" applyBorder="1" applyAlignment="1" applyProtection="1">
      <alignment horizontal="center" vertical="center"/>
      <protection locked="0"/>
    </xf>
  </cellXfs>
  <cellStyles count="5">
    <cellStyle name="Normal" xfId="0" builtinId="0"/>
    <cellStyle name="Normal 2" xfId="3"/>
    <cellStyle name="Normal 3" xfId="4"/>
    <cellStyle name="Normal_Vezba11" xfId="1"/>
    <cellStyle name="Normal_vezba111" xfId="2"/>
  </cellStyles>
  <dxfs count="0"/>
  <tableStyles count="0" defaultTableStyle="TableStyleMedium9" defaultPivotStyle="PivotStyleLight16"/>
  <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B66"/>
  <sheetViews>
    <sheetView showGridLines="0" tabSelected="1" topLeftCell="A19" zoomScale="80" zoomScaleNormal="80" workbookViewId="0">
      <selection activeCell="M21" sqref="M21"/>
    </sheetView>
  </sheetViews>
  <sheetFormatPr defaultColWidth="15" defaultRowHeight="15.75"/>
  <cols>
    <col min="1" max="1" width="5.7109375" style="259" customWidth="1"/>
    <col min="2" max="2" width="0.85546875" style="1" customWidth="1"/>
    <col min="3" max="3" width="11.140625" style="259" customWidth="1"/>
    <col min="4" max="4" width="9.85546875" style="1" customWidth="1"/>
    <col min="5" max="5" width="49" style="259" bestFit="1" customWidth="1"/>
    <col min="6" max="6" width="15.140625" style="1" bestFit="1" customWidth="1"/>
    <col min="7" max="8" width="12.42578125" style="1" customWidth="1"/>
    <col min="9" max="9" width="17" style="1" customWidth="1"/>
    <col min="10" max="27" width="12.42578125" style="1" customWidth="1"/>
    <col min="28" max="28" width="17.85546875" style="1" customWidth="1"/>
    <col min="29" max="29" width="12.42578125" style="1" customWidth="1"/>
    <col min="30" max="34" width="15" style="1"/>
    <col min="35" max="35" width="16.42578125" style="1" customWidth="1"/>
    <col min="36" max="41" width="15" style="1"/>
    <col min="42" max="42" width="12.42578125" style="1" customWidth="1"/>
    <col min="43" max="65" width="15" style="1"/>
    <col min="66" max="66" width="0.85546875" style="1" customWidth="1"/>
    <col min="67" max="67" width="17.5703125" style="1" customWidth="1"/>
    <col min="68" max="68" width="15" style="1"/>
    <col min="69" max="69" width="50.7109375" style="1" customWidth="1"/>
    <col min="70" max="70" width="6.7109375" style="1" customWidth="1"/>
    <col min="71" max="71" width="12.42578125" style="1" customWidth="1"/>
    <col min="72" max="72" width="18" style="1" customWidth="1"/>
    <col min="73" max="84" width="15" style="1"/>
    <col min="85" max="85" width="12.42578125" style="1" customWidth="1"/>
    <col min="86" max="86" width="17.5703125" style="1" customWidth="1"/>
    <col min="87" max="87" width="7.28515625" style="1" customWidth="1"/>
    <col min="88" max="88" width="25.28515625" style="1" customWidth="1"/>
    <col min="89" max="89" width="8.5703125" style="1" customWidth="1"/>
    <col min="90" max="95" width="20.140625" style="1" customWidth="1"/>
    <col min="96" max="96" width="3.42578125" style="1" customWidth="1"/>
    <col min="97" max="100" width="15.85546875" style="1" customWidth="1"/>
    <col min="101" max="103" width="3.42578125" style="1" customWidth="1"/>
    <col min="104" max="104" width="24" style="1" customWidth="1"/>
    <col min="105" max="105" width="4.7109375" style="1" customWidth="1"/>
    <col min="106" max="106" width="15" style="1"/>
    <col min="107" max="107" width="17.5703125" style="1" customWidth="1"/>
    <col min="108" max="112" width="20.140625" style="1" customWidth="1"/>
    <col min="113" max="113" width="15" style="1"/>
    <col min="114" max="114" width="33" style="1" customWidth="1"/>
    <col min="115" max="115" width="12.42578125" style="1" customWidth="1"/>
    <col min="116" max="116" width="3.42578125" style="1" customWidth="1"/>
    <col min="117" max="117" width="17.5703125" style="1" customWidth="1"/>
    <col min="118" max="118" width="2.140625" style="1" customWidth="1"/>
    <col min="119" max="119" width="35.5703125" style="1" customWidth="1"/>
    <col min="120" max="120" width="17.5703125" style="1" customWidth="1"/>
    <col min="121" max="121" width="8.5703125" style="1" customWidth="1"/>
    <col min="122" max="128" width="15" style="1"/>
    <col min="129" max="129" width="2.140625" style="1" customWidth="1"/>
    <col min="130" max="130" width="7.28515625" style="1" customWidth="1"/>
    <col min="131" max="131" width="2.140625" style="1" customWidth="1"/>
    <col min="132" max="132" width="11.140625" style="1" customWidth="1"/>
    <col min="133" max="133" width="2.140625" style="1" customWidth="1"/>
    <col min="134" max="134" width="39.42578125" style="1" customWidth="1"/>
    <col min="135" max="135" width="18.85546875" style="1" customWidth="1"/>
    <col min="136" max="136" width="2.140625" style="1" customWidth="1"/>
    <col min="137" max="137" width="26.5703125" style="1" customWidth="1"/>
    <col min="138" max="153" width="15" style="1"/>
    <col min="154" max="154" width="2.140625" style="1" customWidth="1"/>
    <col min="155" max="155" width="7.28515625" style="1" customWidth="1"/>
    <col min="156" max="156" width="75.42578125" style="1" customWidth="1"/>
    <col min="157" max="157" width="15" style="1"/>
    <col min="158" max="159" width="17.5703125" style="1" customWidth="1"/>
    <col min="160" max="160" width="13.7109375" style="1" customWidth="1"/>
    <col min="161" max="161" width="6" style="1" customWidth="1"/>
    <col min="162" max="162" width="11.140625" style="1" customWidth="1"/>
    <col min="163" max="163" width="33" style="1" customWidth="1"/>
    <col min="164" max="164" width="20.140625" style="1" customWidth="1"/>
    <col min="165" max="166" width="15" style="1"/>
    <col min="167" max="167" width="2.140625" style="1" customWidth="1"/>
    <col min="168" max="16384" width="15" style="1"/>
  </cols>
  <sheetData>
    <row r="1" spans="1:184" ht="19.5" thickBot="1">
      <c r="A1"/>
      <c r="B1"/>
      <c r="C1"/>
      <c r="D1"/>
      <c r="E1"/>
      <c r="F1"/>
      <c r="G1"/>
      <c r="L1" s="2" t="s">
        <v>0</v>
      </c>
      <c r="M1" s="3">
        <v>45</v>
      </c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/>
      <c r="CX1"/>
      <c r="DH1" s="5" t="s">
        <v>1</v>
      </c>
      <c r="DJ1" s="6" t="s">
        <v>2</v>
      </c>
      <c r="DK1" s="7"/>
      <c r="DL1" s="7"/>
      <c r="DM1" s="7"/>
      <c r="DN1" s="8">
        <f>F$26</f>
        <v>0</v>
      </c>
      <c r="DO1" s="7"/>
      <c r="DP1" s="7"/>
      <c r="DQ1" s="8" t="s">
        <v>351</v>
      </c>
      <c r="DR1" s="9"/>
      <c r="DY1" s="10">
        <v>32</v>
      </c>
      <c r="DZ1"/>
      <c r="EA1"/>
      <c r="EB1"/>
      <c r="EC1"/>
      <c r="ED1"/>
      <c r="EE1"/>
      <c r="EF1"/>
      <c r="EG1"/>
      <c r="EY1" s="11"/>
      <c r="EZ1" s="12"/>
      <c r="FA1" s="13"/>
      <c r="FG1" s="14"/>
      <c r="FL1" s="15" t="s">
        <v>4</v>
      </c>
      <c r="FM1" s="16"/>
      <c r="FN1" s="5"/>
    </row>
    <row r="2" spans="1:184" ht="24" thickBot="1">
      <c r="A2"/>
      <c r="B2"/>
      <c r="C2"/>
      <c r="D2"/>
      <c r="E2"/>
      <c r="F2"/>
      <c r="G2"/>
      <c r="H2" s="17" t="s">
        <v>5</v>
      </c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/>
      <c r="CX2"/>
      <c r="CZ2" s="18" t="s">
        <v>6</v>
      </c>
      <c r="DJ2" s="19">
        <f>H$27</f>
        <v>0</v>
      </c>
      <c r="DK2" s="20"/>
      <c r="DL2" s="21"/>
      <c r="DM2" s="21"/>
      <c r="DN2" s="22"/>
      <c r="DO2" s="23">
        <f>E$20</f>
        <v>0</v>
      </c>
      <c r="DP2" s="24"/>
      <c r="DQ2" s="24">
        <f>A$20</f>
        <v>0</v>
      </c>
      <c r="DR2" s="25"/>
      <c r="DY2" s="10">
        <v>33</v>
      </c>
      <c r="DZ2"/>
      <c r="EA2"/>
      <c r="EB2"/>
      <c r="EC2"/>
      <c r="ED2"/>
      <c r="EE2"/>
      <c r="EF2"/>
      <c r="EG2"/>
      <c r="EY2" s="11"/>
      <c r="EZ2" s="12"/>
      <c r="FM2" s="26" t="s">
        <v>7</v>
      </c>
      <c r="FN2" s="27" t="s">
        <v>8</v>
      </c>
    </row>
    <row r="3" spans="1:184" ht="24" thickBot="1">
      <c r="A3" s="1"/>
      <c r="B3" s="28" t="s">
        <v>9</v>
      </c>
      <c r="C3" s="28"/>
      <c r="E3" s="21" t="s">
        <v>10</v>
      </c>
      <c r="F3" s="28"/>
      <c r="G3" s="28"/>
      <c r="H3" s="208">
        <v>162.9</v>
      </c>
      <c r="I3" s="29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 s="201" t="s">
        <v>11</v>
      </c>
      <c r="CJ3" s="201" t="s">
        <v>11</v>
      </c>
      <c r="CK3" s="201" t="s">
        <v>11</v>
      </c>
      <c r="CL3" s="201" t="s">
        <v>11</v>
      </c>
      <c r="CM3" s="201" t="s">
        <v>11</v>
      </c>
      <c r="CN3" s="201" t="s">
        <v>11</v>
      </c>
      <c r="CO3" s="201" t="s">
        <v>11</v>
      </c>
      <c r="CP3" s="201" t="s">
        <v>11</v>
      </c>
      <c r="CQ3" s="201" t="s">
        <v>11</v>
      </c>
      <c r="CR3" s="201" t="s">
        <v>11</v>
      </c>
      <c r="CS3" s="201" t="s">
        <v>11</v>
      </c>
      <c r="CT3" s="201" t="s">
        <v>11</v>
      </c>
      <c r="CU3" s="201" t="s">
        <v>11</v>
      </c>
      <c r="CV3" s="201" t="s">
        <v>11</v>
      </c>
      <c r="CW3"/>
      <c r="CX3"/>
      <c r="CZ3" s="31"/>
      <c r="DA3" s="32"/>
      <c r="DB3" s="33" t="s">
        <v>12</v>
      </c>
      <c r="DC3" s="32"/>
      <c r="DD3" s="32"/>
      <c r="DE3" s="32"/>
      <c r="DF3" s="34"/>
      <c r="DG3"/>
      <c r="DH3" s="35"/>
      <c r="DI3" s="36"/>
      <c r="DJ3" s="19" t="s">
        <v>13</v>
      </c>
      <c r="DK3" s="21"/>
      <c r="DL3" s="21"/>
      <c r="DM3" s="24">
        <f>C$20</f>
        <v>0</v>
      </c>
      <c r="DN3" s="20"/>
      <c r="DO3" s="37" t="s">
        <v>14</v>
      </c>
      <c r="DP3" s="24">
        <f>H$20</f>
        <v>0</v>
      </c>
      <c r="DQ3" s="24"/>
      <c r="DR3" s="25"/>
      <c r="DY3" s="27" t="s">
        <v>15</v>
      </c>
      <c r="DZ3" s="18"/>
      <c r="EY3" s="12"/>
      <c r="EZ3" s="12"/>
      <c r="FM3" s="26" t="s">
        <v>16</v>
      </c>
      <c r="FN3" s="27" t="s">
        <v>17</v>
      </c>
    </row>
    <row r="4" spans="1:184" ht="22.5" customHeight="1" thickBot="1">
      <c r="A4" s="1"/>
      <c r="B4" s="28"/>
      <c r="C4" s="28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 s="233"/>
      <c r="CJ4" s="234"/>
      <c r="CK4" s="234"/>
      <c r="CL4" s="234"/>
      <c r="CM4" s="234"/>
      <c r="CN4" s="234"/>
      <c r="CO4" s="234"/>
      <c r="CP4" s="234"/>
      <c r="CQ4" s="234"/>
      <c r="CR4" s="234"/>
      <c r="CS4" s="234"/>
      <c r="CT4" s="234"/>
      <c r="CU4" s="234"/>
      <c r="CV4" s="235"/>
      <c r="CW4"/>
      <c r="CX4"/>
      <c r="CY4" s="13"/>
      <c r="CZ4" s="38" t="s">
        <v>18</v>
      </c>
      <c r="DA4" s="29"/>
      <c r="DB4" s="29"/>
      <c r="DC4" s="29"/>
      <c r="DD4" s="29"/>
      <c r="DE4" s="29"/>
      <c r="DF4" s="39"/>
      <c r="DG4"/>
      <c r="DH4" s="35"/>
      <c r="DI4" s="36"/>
      <c r="DJ4" s="40" t="s">
        <v>19</v>
      </c>
      <c r="DK4" s="41">
        <f>U$30</f>
        <v>180</v>
      </c>
      <c r="DL4" s="20"/>
      <c r="DM4" s="42"/>
      <c r="DN4" s="21"/>
      <c r="DO4" s="21" t="s">
        <v>20</v>
      </c>
      <c r="DP4" s="43">
        <f>I$20</f>
        <v>0</v>
      </c>
      <c r="DQ4" s="20"/>
      <c r="DR4" s="25"/>
      <c r="DY4" s="27" t="s">
        <v>21</v>
      </c>
      <c r="DZ4" s="18"/>
      <c r="EY4" s="12"/>
      <c r="FM4" s="26" t="s">
        <v>22</v>
      </c>
      <c r="FN4" s="27" t="s">
        <v>23</v>
      </c>
    </row>
    <row r="5" spans="1:184" ht="51" customHeight="1" thickBot="1">
      <c r="A5" s="1"/>
      <c r="B5" s="28"/>
      <c r="C5" s="28"/>
      <c r="D5"/>
      <c r="E5" s="231" t="s">
        <v>24</v>
      </c>
      <c r="F5" s="44"/>
      <c r="G5" s="44" t="s">
        <v>25</v>
      </c>
      <c r="H5" s="45" t="s">
        <v>26</v>
      </c>
      <c r="I5" s="46" t="s">
        <v>27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 s="47"/>
      <c r="CJ5" s="47"/>
      <c r="CK5" s="47"/>
      <c r="CL5" s="48" t="s">
        <v>28</v>
      </c>
      <c r="CM5" s="47"/>
      <c r="CN5" s="47"/>
      <c r="CO5" s="47"/>
      <c r="CP5" s="49"/>
      <c r="CQ5" s="47"/>
      <c r="CR5" s="47"/>
      <c r="CS5" s="4"/>
      <c r="CT5" s="4"/>
      <c r="CU5" s="4"/>
      <c r="CV5" s="4"/>
      <c r="CW5"/>
      <c r="CX5"/>
      <c r="CZ5" s="50"/>
      <c r="DA5" s="51">
        <f>F26</f>
        <v>0</v>
      </c>
      <c r="DB5" s="29"/>
      <c r="DC5" s="29"/>
      <c r="DD5" s="29"/>
      <c r="DE5" s="29"/>
      <c r="DF5" s="39"/>
      <c r="DG5"/>
      <c r="DH5" s="35"/>
      <c r="DI5" s="36"/>
      <c r="DJ5" s="40"/>
      <c r="DK5" s="52" t="s">
        <v>29</v>
      </c>
      <c r="DL5" s="21"/>
      <c r="DM5" s="53" t="s">
        <v>30</v>
      </c>
      <c r="DN5" s="21"/>
      <c r="DO5" s="21"/>
      <c r="DP5" s="52" t="s">
        <v>30</v>
      </c>
      <c r="DQ5" s="21"/>
      <c r="DR5" s="25"/>
      <c r="DY5" s="27" t="s">
        <v>31</v>
      </c>
      <c r="DZ5" s="18"/>
      <c r="EY5" s="12"/>
      <c r="EZ5" s="12"/>
      <c r="FM5" s="26" t="s">
        <v>32</v>
      </c>
      <c r="FN5" s="27" t="s">
        <v>33</v>
      </c>
    </row>
    <row r="6" spans="1:184" ht="19.5" thickBot="1">
      <c r="A6" s="1"/>
      <c r="B6" s="28"/>
      <c r="C6" s="28"/>
      <c r="D6"/>
      <c r="E6" s="54"/>
      <c r="F6" s="35"/>
      <c r="G6" s="35"/>
      <c r="H6" s="35"/>
      <c r="I6" s="55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 s="47"/>
      <c r="CJ6" s="47"/>
      <c r="CK6" s="47"/>
      <c r="CL6" s="56"/>
      <c r="CM6" s="56"/>
      <c r="CN6" s="56"/>
      <c r="CO6" s="56"/>
      <c r="CP6" s="56"/>
      <c r="CQ6" s="56"/>
      <c r="CR6" s="47"/>
      <c r="CS6" s="4"/>
      <c r="CT6" s="4"/>
      <c r="CU6" s="4"/>
      <c r="CV6" s="4"/>
      <c r="CW6"/>
      <c r="CX6"/>
      <c r="CZ6" s="57" t="s">
        <v>34</v>
      </c>
      <c r="DA6" s="29"/>
      <c r="DB6" s="29">
        <f>H27</f>
        <v>0</v>
      </c>
      <c r="DC6" s="29"/>
      <c r="DD6" s="29"/>
      <c r="DE6" s="29"/>
      <c r="DF6" s="39"/>
      <c r="DG6"/>
      <c r="DH6" s="35"/>
      <c r="DI6" s="58"/>
      <c r="DJ6" s="40" t="s">
        <v>35</v>
      </c>
      <c r="DK6" s="21"/>
      <c r="DL6" s="21"/>
      <c r="DM6" s="41">
        <f>AW$20</f>
        <v>0</v>
      </c>
      <c r="DN6" s="20" t="s">
        <v>36</v>
      </c>
      <c r="DO6" s="59" t="s">
        <v>37</v>
      </c>
      <c r="DP6" s="41">
        <f>BB$20</f>
        <v>0</v>
      </c>
      <c r="DQ6" s="20"/>
      <c r="DR6" s="25"/>
      <c r="DY6" s="5" t="s">
        <v>38</v>
      </c>
      <c r="DZ6" s="27" t="s">
        <v>39</v>
      </c>
      <c r="EY6" s="11"/>
      <c r="EZ6" s="12"/>
      <c r="FG6" s="60"/>
      <c r="FN6" s="27" t="s">
        <v>32</v>
      </c>
      <c r="GA6" s="61">
        <f>J20</f>
        <v>0</v>
      </c>
      <c r="GB6" s="62" t="s">
        <v>40</v>
      </c>
    </row>
    <row r="7" spans="1:184" ht="19.5" thickBot="1">
      <c r="A7" s="1"/>
      <c r="B7" s="28"/>
      <c r="C7" s="28"/>
      <c r="D7"/>
      <c r="E7" s="209" t="s">
        <v>352</v>
      </c>
      <c r="F7" s="63">
        <f>(G7*100)/(100-SUM(G$7:G$9))</f>
        <v>0.14027915551948378</v>
      </c>
      <c r="G7" s="252">
        <v>0.14000000000000001</v>
      </c>
      <c r="H7" s="212"/>
      <c r="I7" s="213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 s="64"/>
      <c r="CJ7" s="64"/>
      <c r="CK7" s="64"/>
      <c r="CL7" s="270" t="s">
        <v>41</v>
      </c>
      <c r="CM7" s="270"/>
      <c r="CN7" s="270" t="s">
        <v>42</v>
      </c>
      <c r="CO7" s="270"/>
      <c r="CP7" s="271" t="s">
        <v>43</v>
      </c>
      <c r="CQ7" s="271"/>
      <c r="CR7" s="47"/>
      <c r="CS7" s="4"/>
      <c r="CT7" s="4"/>
      <c r="CU7" s="4"/>
      <c r="CV7" s="4"/>
      <c r="CW7"/>
      <c r="CX7"/>
      <c r="CZ7" s="50"/>
      <c r="DA7" s="51" t="s">
        <v>44</v>
      </c>
      <c r="DB7" s="29"/>
      <c r="DC7" s="29"/>
      <c r="DD7" s="29"/>
      <c r="DE7" s="65" t="s">
        <v>42</v>
      </c>
      <c r="DF7" s="66" t="s">
        <v>43</v>
      </c>
      <c r="DG7"/>
      <c r="DH7" s="35"/>
      <c r="DI7" s="36"/>
      <c r="DJ7" s="40" t="s">
        <v>45</v>
      </c>
      <c r="DK7" s="41">
        <f>J$20+Y$20</f>
        <v>0</v>
      </c>
      <c r="DL7" s="20"/>
      <c r="DM7" s="41">
        <f>AI$20</f>
        <v>0</v>
      </c>
      <c r="DN7" s="20" t="s">
        <v>36</v>
      </c>
      <c r="DO7" s="59"/>
      <c r="DP7" s="67"/>
      <c r="DQ7" s="21"/>
      <c r="DR7" s="25"/>
      <c r="DW7"/>
      <c r="DX7"/>
      <c r="DY7"/>
      <c r="DZ7"/>
      <c r="EA7"/>
      <c r="EB7"/>
      <c r="EC7"/>
      <c r="ED7"/>
      <c r="EE7"/>
      <c r="EF7"/>
      <c r="EG7"/>
      <c r="EY7" s="11"/>
      <c r="EZ7" s="12"/>
      <c r="GA7" s="61">
        <f>K20</f>
        <v>0</v>
      </c>
      <c r="GB7" s="68" t="s">
        <v>46</v>
      </c>
    </row>
    <row r="8" spans="1:184" ht="19.5" thickBot="1">
      <c r="A8" s="1"/>
      <c r="B8" s="28"/>
      <c r="C8" s="28"/>
      <c r="D8"/>
      <c r="E8" s="210" t="s">
        <v>47</v>
      </c>
      <c r="F8" s="69">
        <f>(G8*100)/(100-SUM(G$7:G$9))</f>
        <v>5.1602689351810095E-2</v>
      </c>
      <c r="G8" s="253">
        <v>5.1499999999999997E-2</v>
      </c>
      <c r="H8" s="63" t="s">
        <v>48</v>
      </c>
      <c r="I8" s="70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 s="71"/>
      <c r="CJ8" s="71"/>
      <c r="CK8" s="71"/>
      <c r="CL8" s="71"/>
      <c r="CM8" s="71"/>
      <c r="CN8" s="71"/>
      <c r="CO8" s="71"/>
      <c r="CP8" s="71"/>
      <c r="CQ8" s="71"/>
      <c r="CR8" s="47"/>
      <c r="CS8" s="4"/>
      <c r="CT8" s="4"/>
      <c r="CU8" s="4"/>
      <c r="CV8" s="4"/>
      <c r="CW8"/>
      <c r="CX8"/>
      <c r="CZ8" s="50" t="s">
        <v>49</v>
      </c>
      <c r="DA8" s="29"/>
      <c r="DB8" s="29"/>
      <c r="DC8" s="29"/>
      <c r="DD8" s="72">
        <f>AW47</f>
        <v>0</v>
      </c>
      <c r="DE8" s="72"/>
      <c r="DF8" s="73">
        <f t="shared" ref="DF8:DF17" si="0">DD8-DE8</f>
        <v>0</v>
      </c>
      <c r="DG8"/>
      <c r="DH8" s="35"/>
      <c r="DI8" s="36"/>
      <c r="DJ8" s="40" t="str">
        <f>IF(DM8&gt;0," - Ефективан рад :"," ")</f>
        <v xml:space="preserve"> </v>
      </c>
      <c r="DK8" s="41">
        <f>J$20</f>
        <v>0</v>
      </c>
      <c r="DL8" s="20"/>
      <c r="DM8" s="41">
        <f>AB$20</f>
        <v>0</v>
      </c>
      <c r="DN8" s="20" t="s">
        <v>36</v>
      </c>
      <c r="DO8" s="21" t="s">
        <v>50</v>
      </c>
      <c r="DP8" s="41">
        <f>BA$20</f>
        <v>0</v>
      </c>
      <c r="DQ8" s="20"/>
      <c r="DR8" s="25"/>
      <c r="DW8"/>
      <c r="DX8"/>
      <c r="DY8"/>
      <c r="DZ8"/>
      <c r="EA8"/>
      <c r="EB8"/>
      <c r="EC8"/>
      <c r="ED8"/>
      <c r="EE8"/>
      <c r="EF8"/>
      <c r="EG8"/>
      <c r="EY8" s="11"/>
      <c r="EZ8" s="11"/>
      <c r="GA8" s="61">
        <f>L20</f>
        <v>0</v>
      </c>
      <c r="GB8" s="68" t="s">
        <v>51</v>
      </c>
    </row>
    <row r="9" spans="1:184" ht="16.5" thickBot="1">
      <c r="A9" s="1"/>
      <c r="B9" s="28"/>
      <c r="C9" s="28"/>
      <c r="D9"/>
      <c r="E9" s="210" t="s">
        <v>52</v>
      </c>
      <c r="F9" s="69">
        <f>(G9*100)/(100-SUM(G$7:G$9))</f>
        <v>7.5149547599723445E-3</v>
      </c>
      <c r="G9" s="253">
        <v>7.4999999999999997E-3</v>
      </c>
      <c r="H9" s="74" t="s">
        <v>53</v>
      </c>
      <c r="I9" s="213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 s="75" t="s">
        <v>54</v>
      </c>
      <c r="CJ9" s="75" t="s">
        <v>55</v>
      </c>
      <c r="CK9" s="76" t="s">
        <v>56</v>
      </c>
      <c r="CL9" s="75" t="s">
        <v>57</v>
      </c>
      <c r="CM9" s="76" t="s">
        <v>58</v>
      </c>
      <c r="CN9" s="75" t="s">
        <v>57</v>
      </c>
      <c r="CO9" s="76" t="s">
        <v>58</v>
      </c>
      <c r="CP9" s="75" t="s">
        <v>57</v>
      </c>
      <c r="CQ9" s="76" t="s">
        <v>58</v>
      </c>
      <c r="CR9" s="71"/>
      <c r="CS9" s="4"/>
      <c r="CT9" s="4"/>
      <c r="CU9" s="4"/>
      <c r="CV9" s="4"/>
      <c r="CW9"/>
      <c r="CX9"/>
      <c r="CZ9" s="50"/>
      <c r="DA9" s="29"/>
      <c r="DB9" s="29"/>
      <c r="DC9" s="29"/>
      <c r="DD9" s="72"/>
      <c r="DE9" s="29"/>
      <c r="DF9" s="73">
        <f t="shared" si="0"/>
        <v>0</v>
      </c>
      <c r="DG9"/>
      <c r="DH9" s="35"/>
      <c r="DI9" s="36"/>
      <c r="DJ9" s="40" t="str">
        <f>IF(DM9&gt;0," - Резултат рада :"," ")</f>
        <v xml:space="preserve"> </v>
      </c>
      <c r="DK9" s="41">
        <f>AC$20</f>
        <v>0</v>
      </c>
      <c r="DL9" s="20"/>
      <c r="DM9" s="41">
        <f>AD$20</f>
        <v>0</v>
      </c>
      <c r="DN9" s="20" t="s">
        <v>36</v>
      </c>
      <c r="DO9" s="21" t="s">
        <v>59</v>
      </c>
      <c r="DP9" s="41">
        <f>AX20</f>
        <v>0</v>
      </c>
      <c r="DQ9" s="20"/>
      <c r="DR9" s="25"/>
      <c r="DW9"/>
      <c r="DX9"/>
      <c r="DY9"/>
      <c r="DZ9"/>
      <c r="EA9"/>
      <c r="EB9"/>
      <c r="EC9"/>
      <c r="ED9"/>
      <c r="EE9"/>
      <c r="EF9"/>
      <c r="EG9"/>
      <c r="GA9" s="61">
        <f>M20</f>
        <v>0</v>
      </c>
      <c r="GB9" s="68" t="s">
        <v>60</v>
      </c>
    </row>
    <row r="10" spans="1:184" ht="16.5" thickBot="1">
      <c r="A10" s="1"/>
      <c r="B10" s="28"/>
      <c r="C10" s="28"/>
      <c r="D10"/>
      <c r="E10" s="210" t="s">
        <v>353</v>
      </c>
      <c r="F10" s="69"/>
      <c r="G10" s="254">
        <v>0.12</v>
      </c>
      <c r="H10" s="77" t="s">
        <v>61</v>
      </c>
      <c r="I10" s="78">
        <v>5447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 s="79" t="s">
        <v>62</v>
      </c>
      <c r="CJ10" s="79" t="s">
        <v>63</v>
      </c>
      <c r="CK10" s="79" t="s">
        <v>64</v>
      </c>
      <c r="CL10" s="79" t="s">
        <v>65</v>
      </c>
      <c r="CM10" s="79" t="s">
        <v>66</v>
      </c>
      <c r="CN10" s="79" t="s">
        <v>67</v>
      </c>
      <c r="CO10" s="79" t="s">
        <v>68</v>
      </c>
      <c r="CP10" s="79" t="s">
        <v>69</v>
      </c>
      <c r="CQ10" s="79" t="s">
        <v>70</v>
      </c>
      <c r="CR10" s="47"/>
      <c r="CS10" s="4"/>
      <c r="CT10" s="4"/>
      <c r="CU10" s="4"/>
      <c r="CV10" s="4"/>
      <c r="CW10"/>
      <c r="CX10"/>
      <c r="CZ10" s="50" t="str">
        <f>"2.  "&amp;E7</f>
        <v>2.  ПИО на терет запосленог</v>
      </c>
      <c r="DA10" s="29"/>
      <c r="DB10" s="29"/>
      <c r="DC10" s="80">
        <f t="shared" ref="DC10:DC17" si="1">G7/100</f>
        <v>1.4000000000000002E-3</v>
      </c>
      <c r="DD10" s="72">
        <f>DD22</f>
        <v>0</v>
      </c>
      <c r="DE10" s="72"/>
      <c r="DF10" s="73">
        <f t="shared" si="0"/>
        <v>0</v>
      </c>
      <c r="DG10"/>
      <c r="DH10" s="35"/>
      <c r="DI10" s="36"/>
      <c r="DJ10" s="40" t="str">
        <f>IF(DM10&gt;0," - Рад на држ.празник  .:"," ")</f>
        <v xml:space="preserve"> </v>
      </c>
      <c r="DK10" s="41">
        <f>V$20</f>
        <v>0</v>
      </c>
      <c r="DL10" s="20"/>
      <c r="DM10" s="41">
        <f>AE$20</f>
        <v>0</v>
      </c>
      <c r="DN10" s="20" t="s">
        <v>36</v>
      </c>
      <c r="DO10" s="21" t="s">
        <v>71</v>
      </c>
      <c r="DP10" s="41">
        <f>AY$20</f>
        <v>0</v>
      </c>
      <c r="DQ10" s="20"/>
      <c r="DR10" s="25"/>
      <c r="DW10"/>
      <c r="DX10"/>
      <c r="DY10"/>
      <c r="DZ10"/>
      <c r="EA10"/>
      <c r="EB10"/>
      <c r="EC10"/>
      <c r="ED10"/>
      <c r="EE10"/>
      <c r="EF10"/>
      <c r="EG10"/>
      <c r="GA10" s="61">
        <f>M20</f>
        <v>0</v>
      </c>
      <c r="GB10" s="68" t="s">
        <v>72</v>
      </c>
    </row>
    <row r="11" spans="1:184" ht="18.75">
      <c r="A11" s="1"/>
      <c r="B11" s="28"/>
      <c r="C11" s="28"/>
      <c r="D11"/>
      <c r="E11" s="210" t="s">
        <v>9</v>
      </c>
      <c r="F11" s="69"/>
      <c r="G11" s="214"/>
      <c r="H11" s="77" t="s">
        <v>73</v>
      </c>
      <c r="I11" s="81">
        <v>7952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 s="82">
        <f>CI$4</f>
        <v>0</v>
      </c>
      <c r="CJ11" s="236"/>
      <c r="CK11" s="83">
        <f>DCOUNTA($BR$31:$BT$46,1,$CI$3:$CI$4)</f>
        <v>0</v>
      </c>
      <c r="CL11" s="82">
        <f>DSUM($BR$31:$BT$46,3,$CI$3:$CI$4)</f>
        <v>0</v>
      </c>
      <c r="CM11" s="82">
        <f>CL11*$G$15/100</f>
        <v>0</v>
      </c>
      <c r="CN11" s="82"/>
      <c r="CO11" s="82"/>
      <c r="CP11" s="82">
        <f t="shared" ref="CP11:CQ24" si="2">CL11-CN11</f>
        <v>0</v>
      </c>
      <c r="CQ11" s="82">
        <f t="shared" si="2"/>
        <v>0</v>
      </c>
      <c r="CR11" s="71"/>
      <c r="CS11" s="4"/>
      <c r="CT11" s="4"/>
      <c r="CU11" s="4"/>
      <c r="CV11" s="4"/>
      <c r="CW11"/>
      <c r="CX11"/>
      <c r="CZ11" s="50" t="str">
        <f>"3.  "&amp;E8</f>
        <v>3.  за здравствену заштиту</v>
      </c>
      <c r="DA11" s="29"/>
      <c r="DB11" s="29"/>
      <c r="DC11" s="80">
        <f t="shared" si="1"/>
        <v>5.1499999999999994E-4</v>
      </c>
      <c r="DD11" s="72">
        <f>DD23</f>
        <v>0</v>
      </c>
      <c r="DE11" s="72"/>
      <c r="DF11" s="73">
        <f t="shared" si="0"/>
        <v>0</v>
      </c>
      <c r="DG11"/>
      <c r="DH11" s="35"/>
      <c r="DI11" s="36"/>
      <c r="DJ11" s="40" t="str">
        <f>IF(DM11&gt;0," - Рад ноћу :"," ")</f>
        <v xml:space="preserve"> </v>
      </c>
      <c r="DK11" s="41">
        <f>W$20</f>
        <v>0</v>
      </c>
      <c r="DL11" s="20"/>
      <c r="DM11" s="41">
        <f>AF$20</f>
        <v>0</v>
      </c>
      <c r="DN11" s="20" t="s">
        <v>36</v>
      </c>
      <c r="DO11" s="21" t="s">
        <v>74</v>
      </c>
      <c r="DP11" s="41">
        <f>AZ$20</f>
        <v>0</v>
      </c>
      <c r="DQ11" s="20"/>
      <c r="DR11" s="25"/>
      <c r="DW11"/>
      <c r="DX11"/>
      <c r="DY11"/>
      <c r="DZ11"/>
      <c r="EA11"/>
      <c r="EB11"/>
      <c r="EC11"/>
      <c r="ED11"/>
      <c r="EE11"/>
      <c r="EF11"/>
      <c r="EG11"/>
      <c r="EZ11" s="84"/>
      <c r="GA11" s="61">
        <f>O20</f>
        <v>0</v>
      </c>
      <c r="GB11" s="68" t="s">
        <v>75</v>
      </c>
    </row>
    <row r="12" spans="1:184" ht="18.75">
      <c r="A12" s="1"/>
      <c r="B12" s="28"/>
      <c r="C12" s="28"/>
      <c r="D12"/>
      <c r="E12" s="210" t="s">
        <v>9</v>
      </c>
      <c r="F12" s="69"/>
      <c r="G12" s="214"/>
      <c r="H12" s="77" t="s">
        <v>76</v>
      </c>
      <c r="I12" s="81">
        <v>9451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 s="85">
        <f>CJ$4</f>
        <v>0</v>
      </c>
      <c r="CJ12" s="237"/>
      <c r="CK12" s="86">
        <f>DCOUNTA($BR$31:$BT$46,1,$CJ$3:$CJ$4)</f>
        <v>0</v>
      </c>
      <c r="CL12" s="85">
        <f>DSUM($BR$31:$BT$46,3,$CJ$3:$CJ$4)</f>
        <v>0</v>
      </c>
      <c r="CM12" s="85">
        <f t="shared" ref="CM12:CM24" si="3">CL12*$G$15/100</f>
        <v>0</v>
      </c>
      <c r="CN12" s="85"/>
      <c r="CO12" s="85"/>
      <c r="CP12" s="85">
        <f t="shared" si="2"/>
        <v>0</v>
      </c>
      <c r="CQ12" s="85">
        <f t="shared" si="2"/>
        <v>0</v>
      </c>
      <c r="CR12" s="71"/>
      <c r="CS12" s="4"/>
      <c r="CT12" s="4"/>
      <c r="CU12" s="4"/>
      <c r="CV12" s="4"/>
      <c r="CW12"/>
      <c r="CX12"/>
      <c r="CZ12" s="50" t="str">
        <f>"4.  "&amp;E9</f>
        <v>4.  за осигурање од незапослености</v>
      </c>
      <c r="DA12" s="29"/>
      <c r="DB12" s="29"/>
      <c r="DC12" s="80">
        <f t="shared" si="1"/>
        <v>7.4999999999999993E-5</v>
      </c>
      <c r="DD12" s="72">
        <f>DD24</f>
        <v>0</v>
      </c>
      <c r="DE12" s="72"/>
      <c r="DF12" s="73">
        <f t="shared" si="0"/>
        <v>0</v>
      </c>
      <c r="DG12"/>
      <c r="DH12" s="35"/>
      <c r="DI12" s="58"/>
      <c r="DJ12" s="40" t="str">
        <f>IF(DM12&gt;0," - Дежурство:"," ")</f>
        <v xml:space="preserve"> </v>
      </c>
      <c r="DK12" s="41">
        <f>X$20</f>
        <v>0</v>
      </c>
      <c r="DL12" s="20"/>
      <c r="DM12" s="41">
        <f>AG$20</f>
        <v>0</v>
      </c>
      <c r="DN12" s="20" t="s">
        <v>36</v>
      </c>
      <c r="DO12" s="21"/>
      <c r="DP12" s="67"/>
      <c r="DQ12" s="21"/>
      <c r="DR12" s="25"/>
      <c r="DW12"/>
      <c r="DX12"/>
      <c r="DY12"/>
      <c r="DZ12"/>
      <c r="EA12"/>
      <c r="EB12"/>
      <c r="EC12"/>
      <c r="ED12"/>
      <c r="EE12"/>
      <c r="EF12"/>
      <c r="EG12"/>
      <c r="GA12" s="61">
        <f>P20</f>
        <v>0</v>
      </c>
      <c r="GB12" s="68" t="s">
        <v>77</v>
      </c>
    </row>
    <row r="13" spans="1:184" ht="18.75">
      <c r="A13" s="1"/>
      <c r="B13" s="28"/>
      <c r="C13" s="28"/>
      <c r="D13"/>
      <c r="E13" s="210" t="s">
        <v>78</v>
      </c>
      <c r="F13" s="69"/>
      <c r="G13" s="214"/>
      <c r="H13" s="77" t="s">
        <v>79</v>
      </c>
      <c r="I13" s="81">
        <v>11918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 s="85">
        <f>CK$4</f>
        <v>0</v>
      </c>
      <c r="CJ13" s="237"/>
      <c r="CK13" s="86">
        <f>DCOUNTA($BR$31:$BT$46,1,$CK$3:$CK$4)</f>
        <v>0</v>
      </c>
      <c r="CL13" s="85">
        <f>DSUM($BR$31:$BT$46,3,$CK$3:$CK$4)</f>
        <v>0</v>
      </c>
      <c r="CM13" s="85">
        <f t="shared" si="3"/>
        <v>0</v>
      </c>
      <c r="CN13" s="85"/>
      <c r="CO13" s="85"/>
      <c r="CP13" s="85">
        <f t="shared" si="2"/>
        <v>0</v>
      </c>
      <c r="CQ13" s="85">
        <f t="shared" si="2"/>
        <v>0</v>
      </c>
      <c r="CR13" s="71"/>
      <c r="CS13" s="4"/>
      <c r="CT13" s="4"/>
      <c r="CU13" s="4"/>
      <c r="CV13" s="4"/>
      <c r="CW13"/>
      <c r="CX13"/>
      <c r="CZ13" s="50" t="str">
        <f>"5. "&amp;E10</f>
        <v>5. ПИО на терет послодавца</v>
      </c>
      <c r="DA13" s="29"/>
      <c r="DB13" s="29"/>
      <c r="DC13" s="80">
        <f t="shared" si="1"/>
        <v>1.1999999999999999E-3</v>
      </c>
      <c r="DD13" s="72">
        <f>AW47*G10/100</f>
        <v>0</v>
      </c>
      <c r="DE13" s="72"/>
      <c r="DF13" s="73">
        <f t="shared" si="0"/>
        <v>0</v>
      </c>
      <c r="DG13"/>
      <c r="DH13" s="35"/>
      <c r="DI13" s="36"/>
      <c r="DJ13" s="40" t="str">
        <f>IF(DM13&gt;0," - Прековремени рад :"," ")</f>
        <v xml:space="preserve"> </v>
      </c>
      <c r="DK13" s="41">
        <f>Y$20</f>
        <v>0</v>
      </c>
      <c r="DL13" s="20"/>
      <c r="DM13" s="41">
        <f>AH$20</f>
        <v>0</v>
      </c>
      <c r="DN13" s="20" t="s">
        <v>36</v>
      </c>
      <c r="DO13" s="59" t="s">
        <v>80</v>
      </c>
      <c r="DP13" s="41">
        <f>BC$20</f>
        <v>0</v>
      </c>
      <c r="DQ13" s="20"/>
      <c r="DR13" s="25"/>
      <c r="DW13"/>
      <c r="DX13"/>
      <c r="DY13"/>
      <c r="DZ13"/>
      <c r="EA13"/>
      <c r="EB13"/>
      <c r="EC13"/>
      <c r="ED13"/>
      <c r="EE13"/>
      <c r="EF13"/>
      <c r="EG13"/>
      <c r="GA13" s="61">
        <f>Q20</f>
        <v>0</v>
      </c>
      <c r="GB13" s="68" t="s">
        <v>81</v>
      </c>
    </row>
    <row r="14" spans="1:184" ht="18.75">
      <c r="A14" s="1"/>
      <c r="B14" s="28"/>
      <c r="C14" s="28"/>
      <c r="D14"/>
      <c r="E14" s="210" t="s">
        <v>82</v>
      </c>
      <c r="F14" s="69"/>
      <c r="G14" s="214"/>
      <c r="H14" s="77" t="s">
        <v>83</v>
      </c>
      <c r="I14" s="81">
        <v>12834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 s="85">
        <f>CL$4</f>
        <v>0</v>
      </c>
      <c r="CJ14" s="237"/>
      <c r="CK14" s="86">
        <f>DCOUNTA($BR$31:$BT$46,1,$CL$3:$CL$4)</f>
        <v>0</v>
      </c>
      <c r="CL14" s="85">
        <f>DSUM($BR$31:$BT$46,3,$CL$3:$CL$4)</f>
        <v>0</v>
      </c>
      <c r="CM14" s="85">
        <f t="shared" si="3"/>
        <v>0</v>
      </c>
      <c r="CN14" s="85"/>
      <c r="CO14" s="85"/>
      <c r="CP14" s="85">
        <f t="shared" si="2"/>
        <v>0</v>
      </c>
      <c r="CQ14" s="85">
        <f t="shared" si="2"/>
        <v>0</v>
      </c>
      <c r="CR14" s="71"/>
      <c r="CS14" s="4"/>
      <c r="CT14" s="4"/>
      <c r="CU14" s="4"/>
      <c r="CV14" s="4"/>
      <c r="CW14"/>
      <c r="CX14"/>
      <c r="CZ14" s="50" t="str">
        <f>"6. "&amp;E11</f>
        <v xml:space="preserve">6. </v>
      </c>
      <c r="DA14" s="29"/>
      <c r="DB14" s="29"/>
      <c r="DC14" s="80">
        <f t="shared" si="1"/>
        <v>0</v>
      </c>
      <c r="DD14" s="72"/>
      <c r="DE14" s="72"/>
      <c r="DF14" s="73">
        <f t="shared" si="0"/>
        <v>0</v>
      </c>
      <c r="DG14"/>
      <c r="DH14" s="35"/>
      <c r="DI14" s="36"/>
      <c r="DJ14" s="40" t="s">
        <v>84</v>
      </c>
      <c r="DK14" s="67"/>
      <c r="DL14" s="21"/>
      <c r="DM14" s="41">
        <f>AN$20</f>
        <v>0</v>
      </c>
      <c r="DN14" s="20" t="s">
        <v>36</v>
      </c>
      <c r="DO14" s="21"/>
      <c r="DP14" s="22"/>
      <c r="DQ14" s="21"/>
      <c r="DR14" s="25"/>
      <c r="DW14"/>
      <c r="DX14"/>
      <c r="DY14"/>
      <c r="DZ14"/>
      <c r="EA14"/>
      <c r="EB14"/>
      <c r="EC14"/>
      <c r="ED14"/>
      <c r="EE14"/>
      <c r="EF14"/>
      <c r="EG14"/>
      <c r="EX14" s="13"/>
      <c r="FC14" s="13"/>
      <c r="GA14" s="61">
        <f>R20</f>
        <v>0</v>
      </c>
      <c r="GB14" s="68" t="s">
        <v>85</v>
      </c>
    </row>
    <row r="15" spans="1:184" ht="18.75">
      <c r="A15" s="1"/>
      <c r="B15" s="28"/>
      <c r="C15" s="28"/>
      <c r="D15"/>
      <c r="E15" s="210" t="s">
        <v>86</v>
      </c>
      <c r="F15" s="69"/>
      <c r="G15" s="254">
        <v>0.1</v>
      </c>
      <c r="H15" s="77" t="s">
        <v>87</v>
      </c>
      <c r="I15" s="81">
        <v>16900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 s="85">
        <f>CM$4</f>
        <v>0</v>
      </c>
      <c r="CJ15" s="237"/>
      <c r="CK15" s="86">
        <f>DCOUNTA($BR$31:$BT$46,1,$CM$3:$CM$4)</f>
        <v>0</v>
      </c>
      <c r="CL15" s="85">
        <f>DSUM($BR$31:$BT$46,3,$CM$3:$CM$4)</f>
        <v>0</v>
      </c>
      <c r="CM15" s="85">
        <f t="shared" si="3"/>
        <v>0</v>
      </c>
      <c r="CN15" s="85"/>
      <c r="CO15" s="85"/>
      <c r="CP15" s="85">
        <f t="shared" si="2"/>
        <v>0</v>
      </c>
      <c r="CQ15" s="85">
        <f t="shared" si="2"/>
        <v>0</v>
      </c>
      <c r="CR15" s="71"/>
      <c r="CS15" s="4"/>
      <c r="CT15" s="4"/>
      <c r="CU15" s="4"/>
      <c r="CV15" s="4"/>
      <c r="CW15"/>
      <c r="CX15"/>
      <c r="CZ15" s="50" t="str">
        <f>"7. "&amp;E12</f>
        <v xml:space="preserve">7. </v>
      </c>
      <c r="DA15" s="29"/>
      <c r="DB15" s="29"/>
      <c r="DC15" s="87">
        <f t="shared" si="1"/>
        <v>0</v>
      </c>
      <c r="DD15" s="72"/>
      <c r="DE15" s="72"/>
      <c r="DF15" s="73">
        <f t="shared" si="0"/>
        <v>0</v>
      </c>
      <c r="DG15"/>
      <c r="DH15" s="35"/>
      <c r="DI15" s="36"/>
      <c r="DJ15" s="40" t="str">
        <f>IF(DM15&gt;0," - Државни празници :"," ")</f>
        <v xml:space="preserve"> </v>
      </c>
      <c r="DK15" s="41">
        <f>K20</f>
        <v>0</v>
      </c>
      <c r="DL15" s="20"/>
      <c r="DM15" s="41">
        <f>AJ$20</f>
        <v>0</v>
      </c>
      <c r="DN15" s="20" t="s">
        <v>36</v>
      </c>
      <c r="DO15" s="59" t="str">
        <f>IF(DP15&gt;0,"7. УКУПНО ОБУСТАВЕ:","")</f>
        <v/>
      </c>
      <c r="DP15" s="41">
        <f>BJ$20</f>
        <v>0</v>
      </c>
      <c r="DQ15" s="20"/>
      <c r="DR15" s="25"/>
      <c r="DW15"/>
      <c r="DX15"/>
      <c r="DY15"/>
      <c r="DZ15"/>
      <c r="EA15"/>
      <c r="EB15"/>
      <c r="EC15"/>
      <c r="ED15"/>
      <c r="EE15"/>
      <c r="EF15"/>
      <c r="EG15"/>
      <c r="GA15" s="61">
        <f>S20</f>
        <v>0</v>
      </c>
      <c r="GB15" s="68" t="s">
        <v>89</v>
      </c>
    </row>
    <row r="16" spans="1:184" ht="19.5" thickBot="1">
      <c r="A16" s="1"/>
      <c r="B16" s="28"/>
      <c r="C16" s="28"/>
      <c r="D16"/>
      <c r="E16" s="211" t="s">
        <v>9</v>
      </c>
      <c r="F16" s="195"/>
      <c r="G16" s="215"/>
      <c r="H16" s="88" t="s">
        <v>90</v>
      </c>
      <c r="I16" s="89">
        <v>18879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 s="85">
        <f>CN$4</f>
        <v>0</v>
      </c>
      <c r="CJ16" s="237"/>
      <c r="CK16" s="86">
        <f>DCOUNTA($BR$31:$BT$46,1,$CN$3:$CN$4)</f>
        <v>0</v>
      </c>
      <c r="CL16" s="85">
        <f>DSUM($BR$31:$BT$46,3,$CN$3:$CN$4)</f>
        <v>0</v>
      </c>
      <c r="CM16" s="85">
        <f t="shared" si="3"/>
        <v>0</v>
      </c>
      <c r="CN16" s="85"/>
      <c r="CO16" s="85"/>
      <c r="CP16" s="85">
        <f t="shared" si="2"/>
        <v>0</v>
      </c>
      <c r="CQ16" s="85">
        <f t="shared" si="2"/>
        <v>0</v>
      </c>
      <c r="CR16" s="71"/>
      <c r="CS16" s="4"/>
      <c r="CT16" s="4"/>
      <c r="CU16" s="4"/>
      <c r="CV16" s="4"/>
      <c r="CW16"/>
      <c r="CX16"/>
      <c r="CZ16" s="50" t="str">
        <f>"8. "&amp;E13</f>
        <v>8. Доприноси комори Србије</v>
      </c>
      <c r="DA16" s="29"/>
      <c r="DB16" s="29"/>
      <c r="DC16" s="87">
        <f t="shared" si="1"/>
        <v>0</v>
      </c>
      <c r="DD16" s="72"/>
      <c r="DE16" s="29"/>
      <c r="DF16" s="73">
        <f t="shared" si="0"/>
        <v>0</v>
      </c>
      <c r="DG16"/>
      <c r="DH16" s="35"/>
      <c r="DI16" s="36"/>
      <c r="DJ16" s="40" t="str">
        <f>IF(DM16&gt;0," -  Годишњи одмор:"," ")</f>
        <v xml:space="preserve"> </v>
      </c>
      <c r="DK16" s="41">
        <f>L20</f>
        <v>0</v>
      </c>
      <c r="DL16" s="20"/>
      <c r="DM16" s="41">
        <f>AK$20</f>
        <v>0</v>
      </c>
      <c r="DN16" s="20" t="s">
        <v>36</v>
      </c>
      <c r="DO16" s="59" t="str">
        <f>IF(DP16&gt;0," -Кредит :"," ")</f>
        <v xml:space="preserve"> </v>
      </c>
      <c r="DP16" s="41">
        <f>BD$20</f>
        <v>0</v>
      </c>
      <c r="DQ16" s="20"/>
      <c r="DR16" s="25"/>
      <c r="DW16"/>
      <c r="DX16"/>
      <c r="DY16"/>
      <c r="DZ16"/>
      <c r="EA16"/>
      <c r="EB16"/>
      <c r="EC16"/>
      <c r="ED16"/>
      <c r="EE16"/>
      <c r="EF16"/>
      <c r="EG16"/>
      <c r="EZ16" s="13"/>
      <c r="FD16" s="13"/>
      <c r="GA16" s="61">
        <f>T20</f>
        <v>0</v>
      </c>
      <c r="GB16" s="68" t="s">
        <v>91</v>
      </c>
    </row>
    <row r="17" spans="1:184" ht="18.75">
      <c r="A17" s="1"/>
      <c r="B17" s="28"/>
      <c r="C17" s="28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 s="85">
        <f>CO$4</f>
        <v>0</v>
      </c>
      <c r="CJ17" s="237"/>
      <c r="CK17" s="86">
        <f>DCOUNTA($BR$31:$BT$46,1,$CO$3:$CO$4)</f>
        <v>0</v>
      </c>
      <c r="CL17" s="85">
        <f>DSUM($BR$31:$BT$46,3,$CO$3:$CO$4)</f>
        <v>0</v>
      </c>
      <c r="CM17" s="85">
        <f t="shared" si="3"/>
        <v>0</v>
      </c>
      <c r="CN17" s="85"/>
      <c r="CO17" s="85"/>
      <c r="CP17" s="85">
        <f t="shared" si="2"/>
        <v>0</v>
      </c>
      <c r="CQ17" s="85">
        <f t="shared" si="2"/>
        <v>0</v>
      </c>
      <c r="CR17" s="71"/>
      <c r="CS17" s="4"/>
      <c r="CT17" s="4"/>
      <c r="CU17" s="4"/>
      <c r="CV17" s="4"/>
      <c r="CW17"/>
      <c r="CX17"/>
      <c r="CZ17" s="50" t="str">
        <f>"9. "&amp;E14</f>
        <v>9. Доприоси комори Београда</v>
      </c>
      <c r="DA17" s="29"/>
      <c r="DB17" s="29"/>
      <c r="DC17" s="87">
        <f t="shared" si="1"/>
        <v>0</v>
      </c>
      <c r="DD17" s="72"/>
      <c r="DE17" s="29"/>
      <c r="DF17" s="73">
        <f t="shared" si="0"/>
        <v>0</v>
      </c>
      <c r="DG17"/>
      <c r="DH17" s="35"/>
      <c r="DI17" s="36"/>
      <c r="DJ17" s="40" t="str">
        <f>IF(DM17&gt;0," - Плаћено одсуство :"," ")</f>
        <v xml:space="preserve"> </v>
      </c>
      <c r="DK17" s="41">
        <f>M20</f>
        <v>0</v>
      </c>
      <c r="DL17" s="20"/>
      <c r="DM17" s="41">
        <f>AL$20</f>
        <v>0</v>
      </c>
      <c r="DN17" s="20" t="s">
        <v>36</v>
      </c>
      <c r="DO17" s="59" t="str">
        <f>IF(DP17&gt;0," - Синдикат:"," ")</f>
        <v xml:space="preserve"> </v>
      </c>
      <c r="DP17" s="41">
        <f>BE$20</f>
        <v>0</v>
      </c>
      <c r="DQ17" s="20"/>
      <c r="DR17" s="25"/>
      <c r="DW17"/>
      <c r="DX17"/>
      <c r="DY17"/>
      <c r="DZ17"/>
      <c r="EA17"/>
      <c r="EB17"/>
      <c r="EC17"/>
      <c r="ED17"/>
      <c r="EE17"/>
      <c r="EF17"/>
      <c r="EG17"/>
      <c r="GA17" s="61">
        <f>V20</f>
        <v>0</v>
      </c>
      <c r="GB17" s="68" t="s">
        <v>92</v>
      </c>
    </row>
    <row r="18" spans="1:184" ht="18.75">
      <c r="A18" s="1"/>
      <c r="C18" s="1"/>
      <c r="D18"/>
      <c r="E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 s="85">
        <f>CP$4</f>
        <v>0</v>
      </c>
      <c r="CJ18" s="237"/>
      <c r="CK18" s="86">
        <f>DCOUNTA($BR$31:$BT$46,1,$CP$3:$CP$4)</f>
        <v>0</v>
      </c>
      <c r="CL18" s="85">
        <f>DSUM($BR$31:$BT$46,3,$CP$3:$CP$4)</f>
        <v>0</v>
      </c>
      <c r="CM18" s="85">
        <f t="shared" si="3"/>
        <v>0</v>
      </c>
      <c r="CN18" s="85"/>
      <c r="CO18" s="85"/>
      <c r="CP18" s="85">
        <f t="shared" si="2"/>
        <v>0</v>
      </c>
      <c r="CQ18" s="85">
        <f t="shared" si="2"/>
        <v>0</v>
      </c>
      <c r="CR18" s="71"/>
      <c r="CS18" s="4"/>
      <c r="CT18" s="4"/>
      <c r="CU18" s="4"/>
      <c r="CV18" s="4"/>
      <c r="CW18"/>
      <c r="CX18"/>
      <c r="CZ18" s="50"/>
      <c r="DA18" s="29"/>
      <c r="DB18" s="29"/>
      <c r="DC18" s="29"/>
      <c r="DD18" s="90" t="s">
        <v>93</v>
      </c>
      <c r="DE18" s="90" t="s">
        <v>93</v>
      </c>
      <c r="DF18" s="91" t="s">
        <v>93</v>
      </c>
      <c r="DG18"/>
      <c r="DH18" s="35"/>
      <c r="DI18" s="36"/>
      <c r="DJ18" s="40" t="str">
        <f>IF(DM18&gt;0," - Плаћено боловање :"," ")</f>
        <v xml:space="preserve"> </v>
      </c>
      <c r="DK18" s="41">
        <f>N20</f>
        <v>0</v>
      </c>
      <c r="DL18" s="20"/>
      <c r="DM18" s="41">
        <f>AM$20</f>
        <v>0</v>
      </c>
      <c r="DN18" s="20" t="s">
        <v>36</v>
      </c>
      <c r="DO18" s="59" t="str">
        <f>IF(DP18&gt;0," - Самодопринос:"," ")</f>
        <v xml:space="preserve"> </v>
      </c>
      <c r="DP18" s="41">
        <f>BF$20</f>
        <v>0</v>
      </c>
      <c r="DQ18" s="20"/>
      <c r="DR18" s="25"/>
      <c r="DW18"/>
      <c r="DX18"/>
      <c r="DY18"/>
      <c r="DZ18"/>
      <c r="EA18"/>
      <c r="EB18"/>
      <c r="EC18"/>
      <c r="ED18"/>
      <c r="EE18"/>
      <c r="EF18"/>
      <c r="EG18"/>
      <c r="GA18" s="61">
        <f>W20</f>
        <v>0</v>
      </c>
      <c r="GB18" s="68" t="s">
        <v>94</v>
      </c>
    </row>
    <row r="19" spans="1:184" ht="18.75">
      <c r="A19" s="1"/>
      <c r="C19" s="1"/>
      <c r="E19" s="1"/>
      <c r="G19" s="92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 s="85">
        <f>CQ$4</f>
        <v>0</v>
      </c>
      <c r="CJ19" s="237"/>
      <c r="CK19" s="86">
        <f>DCOUNTA($BR$31:$BT$46,1,$CQ$3:$CQ$4)</f>
        <v>0</v>
      </c>
      <c r="CL19" s="85">
        <f>DSUM($BR$31:$BT$46,3,$CQ$3:$CQ$4)</f>
        <v>0</v>
      </c>
      <c r="CM19" s="85">
        <f t="shared" si="3"/>
        <v>0</v>
      </c>
      <c r="CN19" s="85"/>
      <c r="CO19" s="85"/>
      <c r="CP19" s="85">
        <f t="shared" si="2"/>
        <v>0</v>
      </c>
      <c r="CQ19" s="85">
        <f t="shared" si="2"/>
        <v>0</v>
      </c>
      <c r="CR19" s="71"/>
      <c r="CS19" s="4"/>
      <c r="CT19" s="4"/>
      <c r="CU19" s="4"/>
      <c r="CV19" s="4"/>
      <c r="CW19"/>
      <c r="CX19"/>
      <c r="CZ19" s="50" t="s">
        <v>95</v>
      </c>
      <c r="DA19" s="29"/>
      <c r="DB19" s="29"/>
      <c r="DC19" s="29"/>
      <c r="DD19" s="72">
        <f>SUM(DD10:DD17)</f>
        <v>0</v>
      </c>
      <c r="DE19" s="72"/>
      <c r="DF19" s="73">
        <f t="shared" ref="DF19" si="4">SUM(DF10:DF17)</f>
        <v>0</v>
      </c>
      <c r="DG19"/>
      <c r="DH19" s="35"/>
      <c r="DI19" s="36"/>
      <c r="DJ19" s="40"/>
      <c r="DK19" s="41"/>
      <c r="DL19" s="20"/>
      <c r="DM19" s="41"/>
      <c r="DN19" s="20" t="s">
        <v>36</v>
      </c>
      <c r="DO19" s="59" t="str">
        <f>IF(DP19&gt;0," - Обуставе:"," ")</f>
        <v xml:space="preserve"> </v>
      </c>
      <c r="DP19" s="41">
        <f>BG$20</f>
        <v>0</v>
      </c>
      <c r="DQ19" s="20"/>
      <c r="DR19" s="25"/>
      <c r="DW19"/>
      <c r="DX19"/>
      <c r="DY19"/>
      <c r="DZ19"/>
      <c r="EA19"/>
      <c r="EB19"/>
      <c r="EC19"/>
      <c r="ED19"/>
      <c r="EE19"/>
      <c r="EF19"/>
      <c r="EG19"/>
      <c r="GA19" s="61">
        <f>X20</f>
        <v>0</v>
      </c>
      <c r="GB19" s="68" t="s">
        <v>96</v>
      </c>
    </row>
    <row r="20" spans="1:184" ht="18.7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 s="85">
        <f>CR$4</f>
        <v>0</v>
      </c>
      <c r="CJ20" s="237"/>
      <c r="CK20" s="86">
        <f>DCOUNTA($BR$31:$BT$46,1,$CR$3:$CR$4)</f>
        <v>0</v>
      </c>
      <c r="CL20" s="85">
        <f>DSUM($BR$31:$BT$46,3,$CR$3:$CR$4)</f>
        <v>0</v>
      </c>
      <c r="CM20" s="85">
        <f t="shared" si="3"/>
        <v>0</v>
      </c>
      <c r="CN20" s="85"/>
      <c r="CO20" s="85"/>
      <c r="CP20" s="85">
        <f t="shared" si="2"/>
        <v>0</v>
      </c>
      <c r="CQ20" s="85">
        <f t="shared" si="2"/>
        <v>0</v>
      </c>
      <c r="CR20" s="71"/>
      <c r="CS20" s="4"/>
      <c r="CT20" s="4"/>
      <c r="CU20" s="4"/>
      <c r="CV20" s="4"/>
      <c r="CW20"/>
      <c r="CX20"/>
      <c r="CZ20" s="50"/>
      <c r="DA20" s="29"/>
      <c r="DB20" s="29"/>
      <c r="DC20" s="29"/>
      <c r="DD20" s="72"/>
      <c r="DE20" s="72"/>
      <c r="DF20" s="73"/>
      <c r="DG20"/>
      <c r="DH20" s="35"/>
      <c r="DI20" s="36"/>
      <c r="DJ20" s="21" t="s">
        <v>97</v>
      </c>
      <c r="DK20" s="67"/>
      <c r="DL20" s="21"/>
      <c r="DM20" s="41">
        <f>AV$20</f>
        <v>0</v>
      </c>
      <c r="DN20" s="20" t="s">
        <v>36</v>
      </c>
      <c r="DO20" s="59" t="str">
        <f>IF(DP20&gt;0," - Алиментација:"," ")</f>
        <v xml:space="preserve"> </v>
      </c>
      <c r="DP20" s="41">
        <f>BH$20</f>
        <v>0</v>
      </c>
      <c r="DQ20" s="20"/>
      <c r="DR20" s="25"/>
      <c r="DW20"/>
      <c r="DX20"/>
      <c r="DY20"/>
      <c r="DZ20"/>
      <c r="EA20"/>
      <c r="EB20"/>
      <c r="EC20"/>
      <c r="ED20"/>
      <c r="EE20"/>
      <c r="EF20"/>
      <c r="EG20"/>
      <c r="GA20" s="61">
        <f>Y20</f>
        <v>0</v>
      </c>
      <c r="GB20" s="68" t="s">
        <v>98</v>
      </c>
    </row>
    <row r="21" spans="1:184" ht="18.7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 s="85">
        <f>CS$4</f>
        <v>0</v>
      </c>
      <c r="CJ21" s="237"/>
      <c r="CK21" s="86">
        <f>DCOUNTA($BR$31:$BT$46,1,$CS$3:$CS$4)</f>
        <v>0</v>
      </c>
      <c r="CL21" s="85">
        <f>DSUM($BR$31:$BT$46,3,$CS$3:$CS$4)</f>
        <v>0</v>
      </c>
      <c r="CM21" s="85">
        <f t="shared" si="3"/>
        <v>0</v>
      </c>
      <c r="CN21" s="85"/>
      <c r="CO21" s="85"/>
      <c r="CP21" s="85">
        <f t="shared" si="2"/>
        <v>0</v>
      </c>
      <c r="CQ21" s="85">
        <f t="shared" si="2"/>
        <v>0</v>
      </c>
      <c r="CR21" s="71"/>
      <c r="CS21" s="4"/>
      <c r="CT21" s="4"/>
      <c r="CU21" s="4"/>
      <c r="CV21" s="4"/>
      <c r="CW21"/>
      <c r="CX21"/>
      <c r="CZ21" s="50"/>
      <c r="DA21" s="51" t="s">
        <v>99</v>
      </c>
      <c r="DB21" s="29"/>
      <c r="DC21" s="29"/>
      <c r="DD21" s="72"/>
      <c r="DE21" s="72"/>
      <c r="DF21" s="73"/>
      <c r="DG21"/>
      <c r="DH21" s="35"/>
      <c r="DI21" s="36"/>
      <c r="DJ21" s="40" t="str">
        <f>IF(DM21&gt;0," - Минули рад :"," ")</f>
        <v xml:space="preserve"> </v>
      </c>
      <c r="DK21" s="59"/>
      <c r="DL21" s="21"/>
      <c r="DM21" s="41">
        <f>AO$20</f>
        <v>0</v>
      </c>
      <c r="DN21" s="20" t="s">
        <v>36</v>
      </c>
      <c r="DO21" s="59" t="str">
        <f>IF(DP21&gt;0," - Остале обуставе :"," ")</f>
        <v xml:space="preserve"> </v>
      </c>
      <c r="DP21" s="41">
        <f>BI$20</f>
        <v>0</v>
      </c>
      <c r="DQ21" s="20"/>
      <c r="DR21" s="25"/>
      <c r="DW21"/>
      <c r="DX21"/>
      <c r="DY21"/>
      <c r="DZ21"/>
      <c r="EA21"/>
      <c r="EB21"/>
      <c r="EC21"/>
      <c r="ED21"/>
      <c r="EE21"/>
      <c r="EF21"/>
      <c r="EG21"/>
      <c r="GA21" s="93">
        <f>AI20</f>
        <v>0</v>
      </c>
      <c r="GB21" s="68" t="s">
        <v>100</v>
      </c>
    </row>
    <row r="22" spans="1:184" ht="18.75">
      <c r="A22"/>
      <c r="B22"/>
      <c r="C22"/>
      <c r="D22"/>
      <c r="E22"/>
      <c r="F22"/>
      <c r="G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 s="85">
        <f>CT$4</f>
        <v>0</v>
      </c>
      <c r="CJ22" s="237"/>
      <c r="CK22" s="86">
        <f>DCOUNTA($BR$31:$BT$46,1,$CT$3:$CT$4)</f>
        <v>0</v>
      </c>
      <c r="CL22" s="85">
        <f>DSUM($BR$31:$BT$46,3,$CT$3:$CT$4)</f>
        <v>0</v>
      </c>
      <c r="CM22" s="85">
        <f t="shared" si="3"/>
        <v>0</v>
      </c>
      <c r="CN22" s="85"/>
      <c r="CO22" s="85"/>
      <c r="CP22" s="85">
        <f t="shared" si="2"/>
        <v>0</v>
      </c>
      <c r="CQ22" s="85">
        <f t="shared" si="2"/>
        <v>0</v>
      </c>
      <c r="CR22" s="71"/>
      <c r="CS22" s="4"/>
      <c r="CT22" s="4"/>
      <c r="CU22" s="4"/>
      <c r="CV22" s="4"/>
      <c r="CW22"/>
      <c r="CX22"/>
      <c r="CZ22" s="50" t="str">
        <f>"1.  "&amp;E7</f>
        <v>1.  ПИО на терет запосленог</v>
      </c>
      <c r="DA22" s="29"/>
      <c r="DB22" s="29"/>
      <c r="DC22" s="80">
        <f>G7/100</f>
        <v>1.4000000000000002E-3</v>
      </c>
      <c r="DD22" s="72">
        <f>AX47</f>
        <v>0</v>
      </c>
      <c r="DE22" s="72"/>
      <c r="DF22" s="73">
        <f>DD22-DE22</f>
        <v>0</v>
      </c>
      <c r="DG22"/>
      <c r="DH22" s="35"/>
      <c r="DI22" s="36"/>
      <c r="DJ22" s="40" t="str">
        <f>IF(DM22&gt;0," - Функционални додатак :"," ")</f>
        <v xml:space="preserve"> </v>
      </c>
      <c r="DK22" s="59"/>
      <c r="DL22" s="21"/>
      <c r="DM22" s="41">
        <f>AQ$20</f>
        <v>0</v>
      </c>
      <c r="DN22" s="20" t="s">
        <v>36</v>
      </c>
      <c r="DO22" s="21"/>
      <c r="DP22" s="22"/>
      <c r="DQ22" s="21"/>
      <c r="DR22" s="25"/>
      <c r="DW22"/>
      <c r="DX22"/>
      <c r="DY22"/>
      <c r="DZ22"/>
      <c r="EA22"/>
      <c r="EB22"/>
      <c r="EC22"/>
      <c r="ED22"/>
      <c r="EE22"/>
      <c r="EF22"/>
      <c r="EG22"/>
      <c r="GA22" s="93">
        <f>AB20</f>
        <v>0</v>
      </c>
      <c r="GB22" s="68" t="s">
        <v>101</v>
      </c>
    </row>
    <row r="23" spans="1:184" ht="18.75">
      <c r="A23" s="94"/>
      <c r="B23" s="28"/>
      <c r="C23" s="1"/>
      <c r="E23" s="1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 s="85">
        <f>CU$4</f>
        <v>0</v>
      </c>
      <c r="CJ23" s="237"/>
      <c r="CK23" s="86">
        <f>DCOUNTA($BR$31:$BT$46,1,$CU$3:$CU$4)</f>
        <v>0</v>
      </c>
      <c r="CL23" s="85">
        <f>DSUM($BR$31:$BT$46,3,$CU$3:$CU$4)</f>
        <v>0</v>
      </c>
      <c r="CM23" s="85">
        <f t="shared" si="3"/>
        <v>0</v>
      </c>
      <c r="CN23" s="85"/>
      <c r="CO23" s="85"/>
      <c r="CP23" s="85">
        <f t="shared" si="2"/>
        <v>0</v>
      </c>
      <c r="CQ23" s="85">
        <f t="shared" si="2"/>
        <v>0</v>
      </c>
      <c r="CR23" s="71"/>
      <c r="CS23" s="4"/>
      <c r="CT23" s="4"/>
      <c r="CU23" s="4"/>
      <c r="CV23" s="4"/>
      <c r="CW23"/>
      <c r="CX23"/>
      <c r="CZ23" s="50" t="str">
        <f>"2.  "&amp;E8</f>
        <v>2.  за здравствену заштиту</v>
      </c>
      <c r="DA23" s="29"/>
      <c r="DB23" s="29"/>
      <c r="DC23" s="80">
        <f>G8/100</f>
        <v>5.1499999999999994E-4</v>
      </c>
      <c r="DD23" s="72">
        <f>AY47</f>
        <v>0</v>
      </c>
      <c r="DE23" s="72"/>
      <c r="DF23" s="73">
        <f>DD23-DE23</f>
        <v>0</v>
      </c>
      <c r="DG23"/>
      <c r="DH23" s="35"/>
      <c r="DI23" s="36"/>
      <c r="DJ23" s="40" t="str">
        <f>IF(DM23&gt;0," - Топли оброк :"," ")</f>
        <v xml:space="preserve"> </v>
      </c>
      <c r="DK23" s="28"/>
      <c r="DL23" s="28"/>
      <c r="DM23" s="41">
        <f>AR$20</f>
        <v>0</v>
      </c>
      <c r="DN23" s="20" t="s">
        <v>36</v>
      </c>
      <c r="DO23" s="21"/>
      <c r="DP23" s="21"/>
      <c r="DQ23" s="21"/>
      <c r="DR23" s="25"/>
      <c r="DW23"/>
      <c r="DX23"/>
      <c r="DY23"/>
      <c r="DZ23"/>
      <c r="EA23"/>
      <c r="EB23"/>
      <c r="EC23"/>
      <c r="ED23"/>
      <c r="EE23"/>
      <c r="EF23"/>
      <c r="EG23"/>
      <c r="GA23" s="93">
        <f>AD20</f>
        <v>0</v>
      </c>
      <c r="GB23" s="68" t="s">
        <v>102</v>
      </c>
    </row>
    <row r="24" spans="1:184" ht="19.5" thickBot="1">
      <c r="A24" s="95">
        <v>6</v>
      </c>
      <c r="B24" s="28"/>
      <c r="C24" s="1"/>
      <c r="E24" s="1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 s="96">
        <f>CV$4</f>
        <v>0</v>
      </c>
      <c r="CJ24" s="238"/>
      <c r="CK24" s="97">
        <f>DCOUNTA($BR$31:$BT$46,1,$CV$3:$CV$4)</f>
        <v>0</v>
      </c>
      <c r="CL24" s="96">
        <f>DSUM($BR$31:$BT$46,3,$CV$3:$CV$4)</f>
        <v>0</v>
      </c>
      <c r="CM24" s="96">
        <f t="shared" si="3"/>
        <v>0</v>
      </c>
      <c r="CN24" s="96"/>
      <c r="CO24" s="96"/>
      <c r="CP24" s="96">
        <f t="shared" si="2"/>
        <v>0</v>
      </c>
      <c r="CQ24" s="96">
        <f t="shared" si="2"/>
        <v>0</v>
      </c>
      <c r="CR24" s="71"/>
      <c r="CS24" s="4"/>
      <c r="CT24" s="4"/>
      <c r="CU24" s="4"/>
      <c r="CV24" s="4"/>
      <c r="CW24"/>
      <c r="CX24"/>
      <c r="CZ24" s="50" t="str">
        <f>"3.  "&amp;E9</f>
        <v>3.  за осигурање од незапослености</v>
      </c>
      <c r="DA24" s="29"/>
      <c r="DB24" s="29"/>
      <c r="DC24" s="80">
        <f>G9/100</f>
        <v>7.4999999999999993E-5</v>
      </c>
      <c r="DD24" s="72">
        <f>AZ47</f>
        <v>0</v>
      </c>
      <c r="DE24" s="72"/>
      <c r="DF24" s="73">
        <f>DD24-DE24</f>
        <v>0</v>
      </c>
      <c r="DG24"/>
      <c r="DH24" s="35"/>
      <c r="DI24" s="36"/>
      <c r="DJ24" s="40" t="str">
        <f>IF(DM24&gt;0," - Регрес:"," ")</f>
        <v xml:space="preserve"> </v>
      </c>
      <c r="DK24" s="21"/>
      <c r="DL24" s="21"/>
      <c r="DM24" s="41">
        <f>AS$20</f>
        <v>0</v>
      </c>
      <c r="DN24" s="20" t="s">
        <v>36</v>
      </c>
      <c r="DO24" s="21"/>
      <c r="DP24" s="21"/>
      <c r="DQ24" s="21"/>
      <c r="DR24" s="25"/>
      <c r="DW24"/>
      <c r="DX24"/>
      <c r="DY24"/>
      <c r="DZ24"/>
      <c r="EA24"/>
      <c r="EB24"/>
      <c r="EC24"/>
      <c r="ED24"/>
      <c r="EE24"/>
      <c r="EF24"/>
      <c r="EG24"/>
      <c r="GA24" s="93">
        <f>AN20</f>
        <v>0</v>
      </c>
      <c r="GB24" s="68" t="s">
        <v>103</v>
      </c>
    </row>
    <row r="25" spans="1:184" ht="16.5" thickBot="1">
      <c r="A25" s="1"/>
      <c r="C25" s="1"/>
      <c r="E25" s="1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 s="71"/>
      <c r="CJ25" s="71"/>
      <c r="CK25" s="71"/>
      <c r="CL25" s="71"/>
      <c r="CM25" s="71"/>
      <c r="CN25" s="71"/>
      <c r="CO25" s="71"/>
      <c r="CP25" s="71"/>
      <c r="CQ25" s="71"/>
      <c r="CR25" s="47"/>
      <c r="CS25" s="4"/>
      <c r="CT25" s="4"/>
      <c r="CU25" s="4"/>
      <c r="CV25" s="4"/>
      <c r="CW25"/>
      <c r="CX25"/>
      <c r="CZ25" s="50"/>
      <c r="DA25" s="29"/>
      <c r="DB25" s="29"/>
      <c r="DC25" s="29"/>
      <c r="DD25" s="90" t="s">
        <v>93</v>
      </c>
      <c r="DE25" s="90" t="s">
        <v>93</v>
      </c>
      <c r="DF25" s="91" t="s">
        <v>93</v>
      </c>
      <c r="DG25"/>
      <c r="DH25" s="35"/>
      <c r="DI25" s="36"/>
      <c r="DJ25" s="40" t="str">
        <f>IF(DM25&gt;0," - Теренски додатак :"," ")</f>
        <v xml:space="preserve"> </v>
      </c>
      <c r="DK25" s="21"/>
      <c r="DL25" s="21"/>
      <c r="DM25" s="41">
        <f>AT$20</f>
        <v>0</v>
      </c>
      <c r="DN25" s="20" t="s">
        <v>36</v>
      </c>
      <c r="DO25" s="98" t="s">
        <v>104</v>
      </c>
      <c r="DP25" s="41">
        <f>BK20</f>
        <v>0</v>
      </c>
      <c r="DQ25" s="20"/>
      <c r="DR25" s="25"/>
      <c r="DW25"/>
      <c r="DX25"/>
      <c r="DY25"/>
      <c r="DZ25"/>
      <c r="EA25"/>
      <c r="EB25"/>
      <c r="EC25"/>
      <c r="ED25"/>
      <c r="EE25"/>
      <c r="EF25"/>
      <c r="EG25"/>
      <c r="FH25" s="13"/>
      <c r="GA25" s="93">
        <f>AJ20</f>
        <v>0</v>
      </c>
      <c r="GB25" s="68" t="s">
        <v>105</v>
      </c>
    </row>
    <row r="26" spans="1:184" ht="16.5" thickBot="1">
      <c r="A26" s="1"/>
      <c r="C26" s="28"/>
      <c r="D26" s="21"/>
      <c r="E26" s="99" t="s">
        <v>106</v>
      </c>
      <c r="F26" s="274"/>
      <c r="G26" s="275"/>
      <c r="H26" s="275"/>
      <c r="I26" s="27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 s="100"/>
      <c r="CJ26" s="101" t="s">
        <v>107</v>
      </c>
      <c r="CK26" s="76">
        <f t="shared" ref="CK26:CQ26" si="5">SUM(CK11:CK25)</f>
        <v>0</v>
      </c>
      <c r="CL26" s="102">
        <f t="shared" si="5"/>
        <v>0</v>
      </c>
      <c r="CM26" s="102">
        <f t="shared" si="5"/>
        <v>0</v>
      </c>
      <c r="CN26" s="102">
        <f t="shared" si="5"/>
        <v>0</v>
      </c>
      <c r="CO26" s="102">
        <f t="shared" si="5"/>
        <v>0</v>
      </c>
      <c r="CP26" s="102">
        <f t="shared" si="5"/>
        <v>0</v>
      </c>
      <c r="CQ26" s="102">
        <f t="shared" si="5"/>
        <v>0</v>
      </c>
      <c r="CR26" s="71"/>
      <c r="CS26" s="4"/>
      <c r="CT26" s="4"/>
      <c r="CU26" s="4"/>
      <c r="CV26" s="4"/>
      <c r="CW26"/>
      <c r="CX26"/>
      <c r="CZ26" s="50" t="s">
        <v>108</v>
      </c>
      <c r="DA26" s="29"/>
      <c r="DB26" s="29"/>
      <c r="DC26" s="29"/>
      <c r="DD26" s="72">
        <f>SUM(DD22:DD24)</f>
        <v>0</v>
      </c>
      <c r="DE26" s="72"/>
      <c r="DF26" s="73">
        <f t="shared" ref="DF26" si="6">SUM(DF22:DF24)</f>
        <v>0</v>
      </c>
      <c r="DG26"/>
      <c r="DH26" s="35"/>
      <c r="DI26" s="36"/>
      <c r="DJ26" s="40" t="str">
        <f>IF(DM26&gt;0," - Остало:"," ")</f>
        <v xml:space="preserve"> </v>
      </c>
      <c r="DK26" s="21"/>
      <c r="DL26" s="21"/>
      <c r="DM26" s="41">
        <f>AU$20</f>
        <v>0</v>
      </c>
      <c r="DN26" s="20" t="s">
        <v>36</v>
      </c>
      <c r="DO26" s="98" t="str">
        <f>IF(DP26&gt;0,"8. Исплаћена аконтација :"," ")</f>
        <v xml:space="preserve"> </v>
      </c>
      <c r="DP26" s="67">
        <f>BL20</f>
        <v>0</v>
      </c>
      <c r="DQ26" s="21"/>
      <c r="DR26" s="25"/>
      <c r="DW26"/>
      <c r="DX26"/>
      <c r="DY26"/>
      <c r="DZ26"/>
      <c r="EA26"/>
      <c r="EB26"/>
      <c r="EC26"/>
      <c r="ED26"/>
      <c r="EE26"/>
      <c r="EF26"/>
      <c r="EG26"/>
      <c r="GA26" s="93">
        <f>AK20</f>
        <v>0</v>
      </c>
      <c r="GB26" s="68" t="s">
        <v>109</v>
      </c>
    </row>
    <row r="27" spans="1:184" ht="16.5" thickBot="1">
      <c r="A27" s="1"/>
      <c r="C27" s="21" t="s">
        <v>110</v>
      </c>
      <c r="D27" s="28"/>
      <c r="E27" s="28"/>
      <c r="F27" s="29"/>
      <c r="G27" s="29"/>
      <c r="H27" s="272"/>
      <c r="I27" s="273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 s="47"/>
      <c r="CJ27" s="47"/>
      <c r="CK27" s="71"/>
      <c r="CL27" s="71"/>
      <c r="CM27" s="71"/>
      <c r="CN27" s="71"/>
      <c r="CO27" s="71"/>
      <c r="CP27" s="71"/>
      <c r="CQ27" s="71"/>
      <c r="CR27" s="47"/>
      <c r="CS27" s="4"/>
      <c r="CT27" s="4"/>
      <c r="CU27" s="4"/>
      <c r="CV27" s="4"/>
      <c r="CW27"/>
      <c r="CX27"/>
      <c r="CZ27" s="50"/>
      <c r="DA27" s="29"/>
      <c r="DB27" s="29"/>
      <c r="DC27" s="29"/>
      <c r="DD27" s="29"/>
      <c r="DE27" s="29"/>
      <c r="DF27" s="39"/>
      <c r="DG27"/>
      <c r="DH27" s="35"/>
      <c r="DI27" s="58"/>
      <c r="DJ27" s="104" t="s">
        <v>111</v>
      </c>
      <c r="DK27" s="28"/>
      <c r="DL27" s="28"/>
      <c r="DM27" s="105"/>
      <c r="DN27" s="21" t="s">
        <v>36</v>
      </c>
      <c r="DO27" s="40"/>
      <c r="DP27" s="106" t="s">
        <v>93</v>
      </c>
      <c r="DQ27" s="21"/>
      <c r="DR27" s="25"/>
      <c r="DW27"/>
      <c r="DX27"/>
      <c r="DY27"/>
      <c r="DZ27"/>
      <c r="EA27"/>
      <c r="EB27"/>
      <c r="EC27"/>
      <c r="ED27"/>
      <c r="EE27"/>
      <c r="EF27"/>
      <c r="EG27"/>
      <c r="FF27" s="13"/>
      <c r="GA27" s="93">
        <f>AL20</f>
        <v>0</v>
      </c>
      <c r="GB27" s="68" t="s">
        <v>112</v>
      </c>
    </row>
    <row r="28" spans="1:184" ht="16.5" thickBot="1">
      <c r="A28" s="108" t="s">
        <v>350</v>
      </c>
      <c r="B28" s="109"/>
      <c r="C28" s="109"/>
      <c r="D28" s="109"/>
      <c r="E28" s="216">
        <f ca="1">NOW()</f>
        <v>42406.237585763891</v>
      </c>
      <c r="H28" s="5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/>
      <c r="CX28"/>
      <c r="CZ28" s="50"/>
      <c r="DA28" s="29"/>
      <c r="DB28" s="29"/>
      <c r="DC28" s="29"/>
      <c r="DD28" s="29"/>
      <c r="DE28" s="72"/>
      <c r="DF28" s="73"/>
      <c r="DG28"/>
      <c r="DH28" s="35"/>
      <c r="DI28" s="36"/>
      <c r="DJ28" s="111" t="s">
        <v>113</v>
      </c>
      <c r="DK28" s="28"/>
      <c r="DL28" s="28"/>
      <c r="DM28" s="112"/>
      <c r="DN28" s="21" t="s">
        <v>36</v>
      </c>
      <c r="DO28" s="98" t="s">
        <v>114</v>
      </c>
      <c r="DP28" s="41">
        <f>BM20</f>
        <v>0</v>
      </c>
      <c r="DQ28" s="20"/>
      <c r="DR28" s="25"/>
      <c r="DW28"/>
      <c r="DX28"/>
      <c r="DY28"/>
      <c r="DZ28"/>
      <c r="EA28"/>
      <c r="EB28"/>
      <c r="EC28"/>
      <c r="ED28"/>
      <c r="EE28"/>
      <c r="EF28"/>
      <c r="EG28"/>
      <c r="GA28" s="93">
        <f>AM20</f>
        <v>0</v>
      </c>
      <c r="GB28" s="68" t="s">
        <v>115</v>
      </c>
    </row>
    <row r="29" spans="1:184" ht="63.75" thickBot="1">
      <c r="A29" s="113" t="s">
        <v>116</v>
      </c>
      <c r="B29" s="114"/>
      <c r="C29" s="113" t="s">
        <v>117</v>
      </c>
      <c r="D29" s="113" t="s">
        <v>118</v>
      </c>
      <c r="E29" s="196" t="s">
        <v>119</v>
      </c>
      <c r="F29" s="113" t="s">
        <v>120</v>
      </c>
      <c r="G29" s="113" t="s">
        <v>121</v>
      </c>
      <c r="H29" s="113" t="s">
        <v>122</v>
      </c>
      <c r="I29" s="113" t="s">
        <v>123</v>
      </c>
      <c r="J29" s="113" t="s">
        <v>124</v>
      </c>
      <c r="K29" s="113" t="s">
        <v>46</v>
      </c>
      <c r="L29" s="113" t="s">
        <v>51</v>
      </c>
      <c r="M29" s="113" t="s">
        <v>60</v>
      </c>
      <c r="N29" s="113" t="s">
        <v>125</v>
      </c>
      <c r="O29" s="113" t="s">
        <v>75</v>
      </c>
      <c r="P29" s="113" t="s">
        <v>126</v>
      </c>
      <c r="Q29" s="113" t="s">
        <v>127</v>
      </c>
      <c r="R29" s="113" t="s">
        <v>128</v>
      </c>
      <c r="S29" s="113" t="s">
        <v>129</v>
      </c>
      <c r="T29" s="113" t="s">
        <v>91</v>
      </c>
      <c r="U29" s="113" t="s">
        <v>130</v>
      </c>
      <c r="V29" s="113" t="s">
        <v>92</v>
      </c>
      <c r="W29" s="113" t="s">
        <v>94</v>
      </c>
      <c r="X29" s="113" t="s">
        <v>131</v>
      </c>
      <c r="Y29" s="113" t="s">
        <v>132</v>
      </c>
      <c r="Z29" s="113" t="s">
        <v>133</v>
      </c>
      <c r="AA29" s="113" t="s">
        <v>134</v>
      </c>
      <c r="AB29" s="113" t="s">
        <v>135</v>
      </c>
      <c r="AC29" s="113" t="s">
        <v>136</v>
      </c>
      <c r="AD29" s="113" t="s">
        <v>137</v>
      </c>
      <c r="AE29" s="113" t="s">
        <v>138</v>
      </c>
      <c r="AF29" s="113" t="s">
        <v>139</v>
      </c>
      <c r="AG29" s="113" t="s">
        <v>140</v>
      </c>
      <c r="AH29" s="113" t="s">
        <v>141</v>
      </c>
      <c r="AI29" s="113" t="s">
        <v>142</v>
      </c>
      <c r="AJ29" s="113" t="s">
        <v>105</v>
      </c>
      <c r="AK29" s="113" t="s">
        <v>143</v>
      </c>
      <c r="AL29" s="113" t="s">
        <v>112</v>
      </c>
      <c r="AM29" s="113" t="s">
        <v>115</v>
      </c>
      <c r="AN29" s="113" t="s">
        <v>144</v>
      </c>
      <c r="AO29" s="113" t="s">
        <v>145</v>
      </c>
      <c r="AP29" s="113" t="s">
        <v>146</v>
      </c>
      <c r="AQ29" s="113" t="s">
        <v>147</v>
      </c>
      <c r="AR29" s="113" t="s">
        <v>148</v>
      </c>
      <c r="AS29" s="113" t="s">
        <v>149</v>
      </c>
      <c r="AT29" s="113" t="s">
        <v>134</v>
      </c>
      <c r="AU29" s="113" t="s">
        <v>91</v>
      </c>
      <c r="AV29" s="113" t="s">
        <v>150</v>
      </c>
      <c r="AW29" s="113" t="s">
        <v>151</v>
      </c>
      <c r="AX29" s="113" t="s">
        <v>152</v>
      </c>
      <c r="AY29" s="113" t="s">
        <v>153</v>
      </c>
      <c r="AZ29" s="113" t="s">
        <v>154</v>
      </c>
      <c r="BA29" s="113" t="s">
        <v>155</v>
      </c>
      <c r="BB29" s="113" t="s">
        <v>156</v>
      </c>
      <c r="BC29" s="113" t="s">
        <v>157</v>
      </c>
      <c r="BD29" s="113" t="s">
        <v>158</v>
      </c>
      <c r="BE29" s="113" t="s">
        <v>159</v>
      </c>
      <c r="BF29" s="113" t="s">
        <v>160</v>
      </c>
      <c r="BG29" s="113" t="s">
        <v>161</v>
      </c>
      <c r="BH29" s="113" t="s">
        <v>162</v>
      </c>
      <c r="BI29" s="113" t="s">
        <v>163</v>
      </c>
      <c r="BJ29" s="113" t="s">
        <v>164</v>
      </c>
      <c r="BK29" s="113" t="s">
        <v>165</v>
      </c>
      <c r="BL29" s="113" t="s">
        <v>166</v>
      </c>
      <c r="BM29" s="113" t="s">
        <v>167</v>
      </c>
      <c r="BN29" s="113"/>
      <c r="BO29" s="113" t="s">
        <v>168</v>
      </c>
      <c r="BP29" s="113" t="s">
        <v>169</v>
      </c>
      <c r="BQ29" s="113" t="s">
        <v>170</v>
      </c>
      <c r="BR29" s="113" t="s">
        <v>171</v>
      </c>
      <c r="BS29" s="113" t="s">
        <v>172</v>
      </c>
      <c r="BT29" s="200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Z29" s="50"/>
      <c r="DA29" s="51" t="s">
        <v>173</v>
      </c>
      <c r="DB29" s="29"/>
      <c r="DC29" s="29"/>
      <c r="DD29" s="72"/>
      <c r="DE29" s="72"/>
      <c r="DF29" s="73"/>
      <c r="DG29"/>
      <c r="DH29" s="35"/>
      <c r="DI29" s="36"/>
      <c r="DJ29" s="40"/>
      <c r="DK29" s="21"/>
      <c r="DL29" s="21"/>
      <c r="DM29" s="21"/>
      <c r="DN29" s="21"/>
      <c r="DO29" s="21"/>
      <c r="DP29" s="22"/>
      <c r="DQ29" s="21"/>
      <c r="DR29" s="25"/>
      <c r="DW29"/>
      <c r="DX29"/>
      <c r="DY29"/>
      <c r="DZ29"/>
      <c r="EA29"/>
      <c r="EB29"/>
      <c r="EC29"/>
      <c r="ED29"/>
      <c r="EE29"/>
      <c r="EF29"/>
      <c r="EG29"/>
      <c r="GA29" s="93">
        <f>AV20</f>
        <v>0</v>
      </c>
      <c r="GB29" s="68" t="s">
        <v>174</v>
      </c>
    </row>
    <row r="30" spans="1:184" ht="17.25" thickTop="1" thickBot="1">
      <c r="A30" s="115"/>
      <c r="B30" s="42"/>
      <c r="C30" s="115"/>
      <c r="D30" s="115"/>
      <c r="E30" s="115"/>
      <c r="F30" s="115"/>
      <c r="G30" s="42"/>
      <c r="H30" s="42"/>
      <c r="I30" s="247">
        <v>3378.35</v>
      </c>
      <c r="J30" s="248">
        <v>20</v>
      </c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218">
        <f>IF(MAX(U31:U42)&gt;0,MAX(U31:U42),180)</f>
        <v>180</v>
      </c>
      <c r="V30" s="116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221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22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117"/>
      <c r="BS30" s="42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Z30" s="118" t="s">
        <v>34</v>
      </c>
      <c r="DA30" s="29"/>
      <c r="DB30" s="51">
        <f>H27</f>
        <v>0</v>
      </c>
      <c r="DC30" s="29"/>
      <c r="DD30" s="72"/>
      <c r="DE30" s="72"/>
      <c r="DF30" s="73"/>
      <c r="DG30"/>
      <c r="DH30" s="35"/>
      <c r="DI30" s="36"/>
      <c r="DJ30" s="103"/>
      <c r="DK30" s="103"/>
      <c r="DL30" s="103"/>
      <c r="DM30" s="103"/>
      <c r="DN30" s="103"/>
      <c r="DO30" s="103"/>
      <c r="DP30" s="103"/>
      <c r="DQ30" s="103"/>
      <c r="DW30"/>
      <c r="DX30"/>
      <c r="DY30"/>
      <c r="DZ30"/>
      <c r="EA30"/>
      <c r="EB30"/>
      <c r="EC30"/>
      <c r="ED30"/>
      <c r="EE30"/>
      <c r="EF30"/>
      <c r="EG30"/>
      <c r="GA30" s="93">
        <f>AO20</f>
        <v>0</v>
      </c>
      <c r="GB30" s="68" t="s">
        <v>175</v>
      </c>
    </row>
    <row r="31" spans="1:184" ht="17.25" thickTop="1" thickBot="1">
      <c r="A31" s="30" t="s">
        <v>176</v>
      </c>
      <c r="B31" s="119" t="s">
        <v>36</v>
      </c>
      <c r="C31" s="30" t="s">
        <v>177</v>
      </c>
      <c r="D31" s="30" t="s">
        <v>178</v>
      </c>
      <c r="E31" s="30" t="s">
        <v>179</v>
      </c>
      <c r="F31" s="30" t="s">
        <v>180</v>
      </c>
      <c r="G31" s="30" t="s">
        <v>181</v>
      </c>
      <c r="H31" s="30" t="s">
        <v>182</v>
      </c>
      <c r="I31" s="199" t="s">
        <v>183</v>
      </c>
      <c r="J31" s="199" t="s">
        <v>184</v>
      </c>
      <c r="K31" s="30" t="s">
        <v>185</v>
      </c>
      <c r="L31" s="30" t="s">
        <v>186</v>
      </c>
      <c r="M31" s="30" t="s">
        <v>69</v>
      </c>
      <c r="N31" s="30" t="s">
        <v>70</v>
      </c>
      <c r="O31" s="30" t="s">
        <v>187</v>
      </c>
      <c r="P31" s="30" t="s">
        <v>188</v>
      </c>
      <c r="Q31" s="30" t="s">
        <v>189</v>
      </c>
      <c r="R31" s="30" t="s">
        <v>190</v>
      </c>
      <c r="S31" s="30" t="s">
        <v>191</v>
      </c>
      <c r="T31" s="30" t="s">
        <v>192</v>
      </c>
      <c r="U31" s="30" t="s">
        <v>193</v>
      </c>
      <c r="V31" s="30" t="s">
        <v>194</v>
      </c>
      <c r="W31" s="30" t="s">
        <v>195</v>
      </c>
      <c r="X31" s="30" t="s">
        <v>196</v>
      </c>
      <c r="Y31" s="30" t="s">
        <v>197</v>
      </c>
      <c r="Z31" s="30" t="s">
        <v>198</v>
      </c>
      <c r="AA31" s="30" t="s">
        <v>199</v>
      </c>
      <c r="AB31" s="30" t="s">
        <v>200</v>
      </c>
      <c r="AC31" s="30" t="s">
        <v>201</v>
      </c>
      <c r="AD31" s="30" t="s">
        <v>202</v>
      </c>
      <c r="AE31" s="30" t="s">
        <v>203</v>
      </c>
      <c r="AF31" s="30" t="s">
        <v>204</v>
      </c>
      <c r="AG31" s="30" t="s">
        <v>205</v>
      </c>
      <c r="AH31" s="30" t="s">
        <v>206</v>
      </c>
      <c r="AI31" s="30" t="s">
        <v>207</v>
      </c>
      <c r="AJ31" s="30" t="s">
        <v>208</v>
      </c>
      <c r="AK31" s="30" t="s">
        <v>209</v>
      </c>
      <c r="AL31" s="30" t="s">
        <v>210</v>
      </c>
      <c r="AM31" s="30" t="s">
        <v>211</v>
      </c>
      <c r="AN31" s="30" t="s">
        <v>212</v>
      </c>
      <c r="AO31" s="30" t="s">
        <v>213</v>
      </c>
      <c r="AP31" s="30" t="s">
        <v>214</v>
      </c>
      <c r="AQ31" s="30" t="s">
        <v>215</v>
      </c>
      <c r="AR31" s="30" t="s">
        <v>216</v>
      </c>
      <c r="AS31" s="30" t="s">
        <v>217</v>
      </c>
      <c r="AT31" s="30" t="s">
        <v>218</v>
      </c>
      <c r="AU31" s="30" t="s">
        <v>219</v>
      </c>
      <c r="AV31" s="30" t="s">
        <v>220</v>
      </c>
      <c r="AW31" s="30" t="s">
        <v>221</v>
      </c>
      <c r="AX31" s="30" t="s">
        <v>222</v>
      </c>
      <c r="AY31" s="30" t="s">
        <v>223</v>
      </c>
      <c r="AZ31" s="30" t="s">
        <v>224</v>
      </c>
      <c r="BA31" s="30" t="s">
        <v>225</v>
      </c>
      <c r="BB31" s="30" t="s">
        <v>226</v>
      </c>
      <c r="BC31" s="30" t="s">
        <v>227</v>
      </c>
      <c r="BD31" s="30" t="s">
        <v>228</v>
      </c>
      <c r="BE31" s="30" t="s">
        <v>229</v>
      </c>
      <c r="BF31" s="30" t="s">
        <v>230</v>
      </c>
      <c r="BG31" s="30" t="s">
        <v>231</v>
      </c>
      <c r="BH31" s="30" t="s">
        <v>232</v>
      </c>
      <c r="BI31" s="30" t="s">
        <v>233</v>
      </c>
      <c r="BJ31" s="30" t="s">
        <v>234</v>
      </c>
      <c r="BK31" s="30" t="s">
        <v>235</v>
      </c>
      <c r="BL31" s="30" t="s">
        <v>236</v>
      </c>
      <c r="BM31" s="30" t="s">
        <v>237</v>
      </c>
      <c r="BN31" s="30" t="s">
        <v>238</v>
      </c>
      <c r="BO31" s="30" t="s">
        <v>239</v>
      </c>
      <c r="BP31" s="30" t="s">
        <v>240</v>
      </c>
      <c r="BQ31" s="30" t="s">
        <v>241</v>
      </c>
      <c r="BR31" s="30" t="s">
        <v>11</v>
      </c>
      <c r="BS31" s="30" t="s">
        <v>242</v>
      </c>
      <c r="BT31" s="30" t="s">
        <v>243</v>
      </c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Z31" s="50"/>
      <c r="DA31" s="29"/>
      <c r="DB31" s="29"/>
      <c r="DC31" s="29"/>
      <c r="DD31" s="72"/>
      <c r="DE31" s="72"/>
      <c r="DF31" s="73"/>
      <c r="DG31"/>
      <c r="DH31" s="35"/>
      <c r="DI31" s="36"/>
      <c r="DJ31" s="28"/>
      <c r="DK31" s="28"/>
      <c r="DL31" s="28"/>
      <c r="DM31" s="28"/>
      <c r="DN31" s="28"/>
      <c r="DO31" s="28"/>
      <c r="DP31" s="28"/>
      <c r="DQ31" s="28"/>
      <c r="DW31"/>
      <c r="DX31"/>
      <c r="DY31"/>
      <c r="DZ31"/>
      <c r="EA31"/>
      <c r="EB31"/>
      <c r="EC31"/>
      <c r="ED31"/>
      <c r="EE31"/>
      <c r="EF31"/>
      <c r="EG31"/>
      <c r="GA31" s="93">
        <f>AQ20</f>
        <v>0</v>
      </c>
      <c r="GB31" s="68" t="s">
        <v>244</v>
      </c>
    </row>
    <row r="32" spans="1:184" ht="18.75">
      <c r="A32" s="255"/>
      <c r="B32" s="246"/>
      <c r="C32" s="255"/>
      <c r="D32" s="245"/>
      <c r="E32" s="265"/>
      <c r="F32" s="262"/>
      <c r="G32" s="263"/>
      <c r="H32" s="120">
        <f t="shared" ref="H32" ca="1" si="7">IF((YEAR(E$28-F32-G32)-1900)&lt;60,(YEAR(E$28-F32-G32)-1900),0)</f>
        <v>0</v>
      </c>
      <c r="I32" s="197">
        <f t="shared" ref="I32" si="8">D32*$I$30</f>
        <v>0</v>
      </c>
      <c r="J32" s="198">
        <f t="shared" ref="J32" si="9">IF(I32&gt;0,$J$30*8-SUM(K32:T32),0)</f>
        <v>0</v>
      </c>
      <c r="K32" s="217"/>
      <c r="L32" s="217"/>
      <c r="M32" s="217"/>
      <c r="N32" s="217"/>
      <c r="O32" s="217"/>
      <c r="P32" s="217"/>
      <c r="Q32" s="217"/>
      <c r="R32" s="217"/>
      <c r="S32" s="217"/>
      <c r="T32" s="217"/>
      <c r="U32" s="120">
        <f t="shared" ref="U32" si="10">SUM(J32:T32)</f>
        <v>0</v>
      </c>
      <c r="V32" s="217"/>
      <c r="W32" s="217"/>
      <c r="X32" s="217"/>
      <c r="Y32" s="219"/>
      <c r="Z32" s="219"/>
      <c r="AA32" s="219"/>
      <c r="AB32" s="121">
        <f t="shared" ref="AB32" si="11">IF(U32&gt;0,I32*J32/U$30,0)</f>
        <v>0</v>
      </c>
      <c r="AC32" s="220"/>
      <c r="AD32" s="121">
        <f t="shared" ref="AD32" si="12">I32*AC32*BN32</f>
        <v>0</v>
      </c>
      <c r="AE32" s="130">
        <f t="shared" ref="AE32" si="13">IF($U32&gt;0,1.1*(AB32+AD32+AJ32+AK32+AL32)*V32/$U$30,0)</f>
        <v>0</v>
      </c>
      <c r="AF32" s="130">
        <f t="shared" ref="AF32" si="14">IF($U32&gt;0,0.26*(AB32+AD32+AJ32+AK32+AL32)*W32/$U$30,0)</f>
        <v>0</v>
      </c>
      <c r="AG32" s="130">
        <f t="shared" ref="AG32" si="15">IF($U32&gt;0,0.26*(AB32+AD32+AJ32+AK32+AL32)*X32/$U$30,0)</f>
        <v>0</v>
      </c>
      <c r="AH32" s="130">
        <f t="shared" ref="AH32" si="16">IF($U32&gt;0,1.3*(AB32+AD32+AJ32+AK32+AL32)*Y32/$U$30,0)</f>
        <v>0</v>
      </c>
      <c r="AI32" s="121">
        <f t="shared" ref="AI32" si="17">AB32+SUM(AD32:AH32)</f>
        <v>0</v>
      </c>
      <c r="AJ32" s="121">
        <f t="shared" ref="AJ32" si="18">IF(U32&gt;0,I32*K32/U$30,0)</f>
        <v>0</v>
      </c>
      <c r="AK32" s="121">
        <f t="shared" ref="AK32" si="19">IF(U32&gt;0,I32*L32/U$30,0)</f>
        <v>0</v>
      </c>
      <c r="AL32" s="121">
        <f t="shared" ref="AL32" si="20">IF(U32&gt;0,I32*M32/U$30,0)</f>
        <v>0</v>
      </c>
      <c r="AM32" s="130">
        <f t="shared" ref="AM32" si="21">IF(U32&gt;0,0.65*H32*M32/U$30,0)</f>
        <v>0</v>
      </c>
      <c r="AN32" s="121">
        <f t="shared" ref="AN32" si="22">SUM(AJ32:AM32)</f>
        <v>0</v>
      </c>
      <c r="AO32" s="121">
        <f t="shared" ref="AO32" ca="1" si="23">H32*$AO$30*(AI32+AN32+AQ32)</f>
        <v>0</v>
      </c>
      <c r="AP32" s="220"/>
      <c r="AQ32" s="121">
        <f t="shared" ref="AQ32" si="24">I32*AP32*BN32</f>
        <v>0</v>
      </c>
      <c r="AR32" s="220"/>
      <c r="AS32" s="220"/>
      <c r="AT32" s="220"/>
      <c r="AU32" s="220"/>
      <c r="AV32" s="122">
        <f t="shared" ref="AV32" ca="1" si="25">AO32+SUM(AQ32:AU32)</f>
        <v>0</v>
      </c>
      <c r="AW32" s="123">
        <f t="shared" ref="AW32" si="26">IF(U32&gt;0,IF(AI32+AN32+AV32&gt;(BN32*U32*$H$3),AI32+AN32+AV32,IF(AI32+AN32+AV32&lt;1,AI32+AN32+AV32,"ISPOD MINIMUMA")),0)</f>
        <v>0</v>
      </c>
      <c r="AX32" s="121">
        <f t="shared" ref="AX32" si="27">IF(AW32&gt;0,IF($AW32&gt;=BN32*$I$9,IF($AW32&lt;=5*BN32*$I$7,$AW32*$G$7/100,5*BN32*$I$7*$G$7/100),BN32*$I$9*$G$7/100),0)</f>
        <v>0</v>
      </c>
      <c r="AY32" s="121">
        <f t="shared" ref="AY32" si="28">IF(AW32&gt;0,IF($AW32&gt;=BN32*$I$9,IF($AW32&lt;=5*BN32*$I$7,$AW32*$G$8/100,5*BN32*$I$7*$G$8/100),BN32*$I$9*$G$8/100),0)</f>
        <v>0</v>
      </c>
      <c r="AZ32" s="121">
        <f t="shared" ref="AZ32" si="29">IF(AW32&gt;0,IF($AW32&gt;=BN32*$I$9,IF($AW32&lt;=5*BN32*$I$7,$AW32*$G$9/100,5*BN32*$I$7*$G$9/100),BN32*$I$9*$G$9/100),0)</f>
        <v>0</v>
      </c>
      <c r="BA32" s="121">
        <f t="shared" ref="BA32" si="30">SUM(AX32:AZ32)</f>
        <v>0</v>
      </c>
      <c r="BB32" s="121">
        <f>(AW32-IF(AW32&gt;0.1,$BB$30,0)*BN32)*$G$15/100</f>
        <v>0</v>
      </c>
      <c r="BC32" s="121">
        <f t="shared" ref="BC32" si="31">IF($I$30&lt;0.001,0,AW32-BA32-BB32)</f>
        <v>0</v>
      </c>
      <c r="BD32" s="220"/>
      <c r="BE32" s="197">
        <f>BC32*0.1%</f>
        <v>0</v>
      </c>
      <c r="BF32" s="220"/>
      <c r="BG32" s="220"/>
      <c r="BH32" s="220"/>
      <c r="BI32" s="220"/>
      <c r="BJ32" s="121">
        <f t="shared" ref="BJ32" si="32">SUM(BD32:BI32)</f>
        <v>0</v>
      </c>
      <c r="BK32" s="121">
        <f t="shared" ref="BK32" si="33">(BC32-BJ32)</f>
        <v>0</v>
      </c>
      <c r="BL32" s="124"/>
      <c r="BM32" s="121">
        <f t="shared" ref="BM32" si="34">BK32-BL32</f>
        <v>0</v>
      </c>
      <c r="BN32" s="121">
        <f t="shared" ref="BN32" si="35">(1-SUM(P32:T32)/$U$30)</f>
        <v>1</v>
      </c>
      <c r="BO32" s="121">
        <f t="shared" ref="BO32" si="36">BM32-BP32</f>
        <v>0</v>
      </c>
      <c r="BP32" s="121">
        <f t="shared" ref="BP32" si="37">IF(BS32&gt;0,ROUND(BM32*(1-BS32),0),BM32)</f>
        <v>0</v>
      </c>
      <c r="BQ32" s="125" t="str">
        <f>IF(BM32&gt;0,FIXED(A32,0,TRUE)&amp;"  "&amp;IF(BP32=0,"_ТЕКУЋИ___","__________")&amp;E32,"")</f>
        <v/>
      </c>
      <c r="BR32" s="223"/>
      <c r="BS32" s="224"/>
      <c r="BT32" s="264">
        <f>+AW32</f>
        <v>0</v>
      </c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Y32" s="18">
        <v>1001</v>
      </c>
      <c r="CZ32" s="50" t="s">
        <v>245</v>
      </c>
      <c r="DA32" s="29"/>
      <c r="DB32" s="29"/>
      <c r="DC32" s="126" t="s">
        <v>246</v>
      </c>
      <c r="DD32" s="72">
        <f>BC47</f>
        <v>0</v>
      </c>
      <c r="DE32" s="72"/>
      <c r="DF32" s="73">
        <f>DD32-DE32</f>
        <v>0</v>
      </c>
      <c r="DG32"/>
      <c r="DH32" s="35"/>
      <c r="DI32" s="36"/>
      <c r="DJ32" s="6" t="s">
        <v>2</v>
      </c>
      <c r="DK32" s="7"/>
      <c r="DL32" s="7"/>
      <c r="DM32" s="7"/>
      <c r="DN32" s="8">
        <f>F26</f>
        <v>0</v>
      </c>
      <c r="DO32" s="7"/>
      <c r="DP32" s="7"/>
      <c r="DQ32" s="8" t="s">
        <v>3</v>
      </c>
      <c r="DR32" s="25"/>
      <c r="DW32"/>
      <c r="DX32"/>
      <c r="DY32"/>
      <c r="DZ32"/>
      <c r="EA32"/>
      <c r="EB32"/>
      <c r="EC32"/>
      <c r="ED32"/>
      <c r="EE32"/>
      <c r="EF32"/>
      <c r="EG32"/>
      <c r="FA32" s="13"/>
      <c r="FV32" s="128"/>
      <c r="FW32" s="129"/>
      <c r="FX32" s="128"/>
      <c r="FY32" s="128"/>
      <c r="GA32" s="93">
        <f>AE21</f>
        <v>0</v>
      </c>
      <c r="GB32" s="68" t="s">
        <v>247</v>
      </c>
    </row>
    <row r="33" spans="1:184" ht="23.25">
      <c r="A33" s="255"/>
      <c r="B33" s="246"/>
      <c r="C33" s="255"/>
      <c r="D33" s="245"/>
      <c r="E33" s="265"/>
      <c r="F33" s="262"/>
      <c r="G33" s="263"/>
      <c r="H33" s="120">
        <f t="shared" ref="H33:H35" ca="1" si="38">IF((YEAR(E$28-F33-G33)-1900)&lt;60,(YEAR(E$28-F33-G33)-1900),0)</f>
        <v>0</v>
      </c>
      <c r="I33" s="197">
        <f t="shared" ref="I33:I35" si="39">D33*$I$30</f>
        <v>0</v>
      </c>
      <c r="J33" s="198">
        <f t="shared" ref="J33:J35" si="40">IF(I33&gt;0,$J$30*8-SUM(K33:T33),0)</f>
        <v>0</v>
      </c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120">
        <f t="shared" ref="U33:U35" si="41">SUM(J33:T33)</f>
        <v>0</v>
      </c>
      <c r="V33" s="217"/>
      <c r="W33" s="217"/>
      <c r="X33" s="217"/>
      <c r="Y33" s="219"/>
      <c r="Z33" s="219"/>
      <c r="AA33" s="219"/>
      <c r="AB33" s="121">
        <f t="shared" ref="AB33:AB35" si="42">IF(U33&gt;0,I33*J33/U$30,0)</f>
        <v>0</v>
      </c>
      <c r="AC33" s="220"/>
      <c r="AD33" s="121">
        <f t="shared" ref="AD33:AD35" si="43">I33*AC33*BN33</f>
        <v>0</v>
      </c>
      <c r="AE33" s="130">
        <f t="shared" ref="AE33:AE35" si="44">IF($U33&gt;0,1.1*(AB33+AD33+AJ33+AK33+AL33)*V33/$U$30,0)</f>
        <v>0</v>
      </c>
      <c r="AF33" s="130">
        <f t="shared" ref="AF33:AF35" si="45">IF($U33&gt;0,0.26*(AB33+AD33+AJ33+AK33+AL33)*W33/$U$30,0)</f>
        <v>0</v>
      </c>
      <c r="AG33" s="130">
        <f t="shared" ref="AG33:AG35" si="46">IF($U33&gt;0,0.26*(AB33+AD33+AJ33+AK33+AL33)*X33/$U$30,0)</f>
        <v>0</v>
      </c>
      <c r="AH33" s="130">
        <f t="shared" ref="AH33:AH35" si="47">IF($U33&gt;0,1.3*(AB33+AD33+AJ33+AK33+AL33)*Y33/$U$30,0)</f>
        <v>0</v>
      </c>
      <c r="AI33" s="121">
        <f t="shared" ref="AI33:AI35" si="48">AB33+SUM(AD33:AH33)</f>
        <v>0</v>
      </c>
      <c r="AJ33" s="121">
        <f t="shared" ref="AJ33:AJ35" si="49">IF(U33&gt;0,I33*K33/U$30,0)</f>
        <v>0</v>
      </c>
      <c r="AK33" s="121">
        <f t="shared" ref="AK33:AK35" si="50">IF(U33&gt;0,I33*L33/U$30,0)</f>
        <v>0</v>
      </c>
      <c r="AL33" s="121">
        <f t="shared" ref="AL33:AL35" si="51">IF(U33&gt;0,I33*M33/U$30,0)</f>
        <v>0</v>
      </c>
      <c r="AM33" s="130">
        <f t="shared" ref="AM33:AM35" si="52">IF(U33&gt;0,0.65*H33*M33/U$30,0)</f>
        <v>0</v>
      </c>
      <c r="AN33" s="121">
        <f t="shared" ref="AN33:AN35" si="53">SUM(AJ33:AM33)</f>
        <v>0</v>
      </c>
      <c r="AO33" s="121">
        <f t="shared" ref="AO33:AO35" ca="1" si="54">H33*$AO$30*(AI33+AN33+AQ33)</f>
        <v>0</v>
      </c>
      <c r="AP33" s="220"/>
      <c r="AQ33" s="121">
        <f t="shared" ref="AQ33:AQ35" si="55">I33*AP33*BN33</f>
        <v>0</v>
      </c>
      <c r="AR33" s="220"/>
      <c r="AS33" s="220"/>
      <c r="AT33" s="220"/>
      <c r="AU33" s="220"/>
      <c r="AV33" s="122">
        <f t="shared" ref="AV33:AV35" ca="1" si="56">AO33+SUM(AQ33:AU33)</f>
        <v>0</v>
      </c>
      <c r="AW33" s="123">
        <f t="shared" ref="AW33:AW35" si="57">IF(U33&gt;0,IF(AI33+AN33+AV33&gt;(BN33*U33*$H$3),AI33+AN33+AV33,IF(AI33+AN33+AV33&lt;1,AI33+AN33+AV33,"ISPOD MINIMUMA")),0)</f>
        <v>0</v>
      </c>
      <c r="AX33" s="121">
        <f t="shared" ref="AX33:AX35" si="58">IF(AW33&gt;0,IF($AW33&gt;=BN33*$I$9,IF($AW33&lt;=5*BN33*$I$7,$AW33*$G$7/100,5*BN33*$I$7*$G$7/100),BN33*$I$9*$G$7/100),0)</f>
        <v>0</v>
      </c>
      <c r="AY33" s="121">
        <f t="shared" ref="AY33:AY35" si="59">IF(AW33&gt;0,IF($AW33&gt;=BN33*$I$9,IF($AW33&lt;=5*BN33*$I$7,$AW33*$G$8/100,5*BN33*$I$7*$G$8/100),BN33*$I$9*$G$8/100),0)</f>
        <v>0</v>
      </c>
      <c r="AZ33" s="121">
        <f t="shared" ref="AZ33:AZ35" si="60">IF(AW33&gt;0,IF($AW33&gt;=BN33*$I$9,IF($AW33&lt;=5*BN33*$I$7,$AW33*$G$9/100,5*BN33*$I$7*$G$9/100),BN33*$I$9*$G$9/100),0)</f>
        <v>0</v>
      </c>
      <c r="BA33" s="121">
        <f t="shared" ref="BA33:BA35" si="61">SUM(AX33:AZ33)</f>
        <v>0</v>
      </c>
      <c r="BB33" s="121">
        <f t="shared" ref="BB33:BB35" si="62">(AW33-IF(AW33&gt;0.1,$BB$30,0)*BN33)*$G$15/100</f>
        <v>0</v>
      </c>
      <c r="BC33" s="121">
        <f t="shared" ref="BC33:BC35" si="63">IF($I$30&lt;0.001,0,AW33-BA33-BB33)</f>
        <v>0</v>
      </c>
      <c r="BD33" s="220"/>
      <c r="BE33" s="197">
        <f t="shared" ref="BE33:BE35" si="64">BC33*0.1%</f>
        <v>0</v>
      </c>
      <c r="BF33" s="220"/>
      <c r="BG33" s="220"/>
      <c r="BH33" s="220"/>
      <c r="BI33" s="220"/>
      <c r="BJ33" s="121">
        <f t="shared" ref="BJ33:BJ35" si="65">SUM(BD33:BI33)</f>
        <v>0</v>
      </c>
      <c r="BK33" s="121">
        <f t="shared" ref="BK33:BK35" si="66">(BC33-BJ33)</f>
        <v>0</v>
      </c>
      <c r="BL33" s="124"/>
      <c r="BM33" s="121">
        <f t="shared" ref="BM33:BM35" si="67">BK33-BL33</f>
        <v>0</v>
      </c>
      <c r="BN33" s="121">
        <f t="shared" ref="BN33:BN35" si="68">(1-SUM(P33:T33)/$U$30)</f>
        <v>1</v>
      </c>
      <c r="BO33" s="121">
        <f t="shared" ref="BO33:BO35" si="69">BM33-BP33</f>
        <v>0</v>
      </c>
      <c r="BP33" s="121">
        <f t="shared" ref="BP33:BP35" si="70">IF(BS33&gt;0,ROUND(BM33*(1-BS33),0),BM33)</f>
        <v>0</v>
      </c>
      <c r="BQ33" s="125" t="str">
        <f t="shared" ref="BQ33:BQ35" si="71">IF(BM33&gt;0,FIXED(A33,0,TRUE)&amp;"  "&amp;IF(BP33=0,"_ТЕКУЋИ___","__________")&amp;E33,"")</f>
        <v/>
      </c>
      <c r="BR33" s="223"/>
      <c r="BS33" s="224"/>
      <c r="BT33" s="264">
        <f t="shared" ref="BT33:BT35" si="72">+AW33</f>
        <v>0</v>
      </c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Y33" s="18">
        <v>2</v>
      </c>
      <c r="CZ33" s="50" t="s">
        <v>248</v>
      </c>
      <c r="DA33" s="29"/>
      <c r="DB33" s="29"/>
      <c r="DC33" s="126" t="s">
        <v>246</v>
      </c>
      <c r="DD33" s="72">
        <f>DD26</f>
        <v>0</v>
      </c>
      <c r="DE33" s="72"/>
      <c r="DF33" s="73">
        <f>DD33-DE33</f>
        <v>0</v>
      </c>
      <c r="DG33"/>
      <c r="DH33" s="35"/>
      <c r="DI33" s="36"/>
      <c r="DJ33" s="19">
        <f>H27</f>
        <v>0</v>
      </c>
      <c r="DK33" s="20"/>
      <c r="DL33" s="21"/>
      <c r="DM33" s="21"/>
      <c r="DN33" s="22"/>
      <c r="DO33" s="23">
        <f>E21</f>
        <v>0</v>
      </c>
      <c r="DP33" s="24"/>
      <c r="DQ33" s="24">
        <f>A21</f>
        <v>0</v>
      </c>
      <c r="DR33" s="25"/>
      <c r="DW33"/>
      <c r="DX33"/>
      <c r="DY33"/>
      <c r="DZ33"/>
      <c r="EA33"/>
      <c r="EB33"/>
      <c r="EC33"/>
      <c r="ED33"/>
      <c r="EE33"/>
      <c r="EF33"/>
      <c r="EG33"/>
      <c r="FA33" s="13"/>
      <c r="FV33" s="128"/>
      <c r="FW33" s="129"/>
      <c r="FX33" s="128"/>
      <c r="FY33" s="128"/>
      <c r="GA33" s="93">
        <f>AF20</f>
        <v>0</v>
      </c>
      <c r="GB33" s="68" t="s">
        <v>249</v>
      </c>
    </row>
    <row r="34" spans="1:184" ht="18.75">
      <c r="A34" s="255"/>
      <c r="B34" s="246"/>
      <c r="C34" s="255"/>
      <c r="D34" s="245"/>
      <c r="E34" s="265"/>
      <c r="F34" s="262"/>
      <c r="G34" s="263"/>
      <c r="H34" s="120">
        <f t="shared" ca="1" si="38"/>
        <v>0</v>
      </c>
      <c r="I34" s="197">
        <f t="shared" si="39"/>
        <v>0</v>
      </c>
      <c r="J34" s="198">
        <f t="shared" si="40"/>
        <v>0</v>
      </c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120">
        <f t="shared" si="41"/>
        <v>0</v>
      </c>
      <c r="V34" s="217"/>
      <c r="W34" s="217"/>
      <c r="X34" s="217"/>
      <c r="Y34" s="219"/>
      <c r="Z34" s="219"/>
      <c r="AA34" s="219"/>
      <c r="AB34" s="121">
        <f t="shared" si="42"/>
        <v>0</v>
      </c>
      <c r="AC34" s="220"/>
      <c r="AD34" s="121">
        <f t="shared" si="43"/>
        <v>0</v>
      </c>
      <c r="AE34" s="130">
        <f t="shared" si="44"/>
        <v>0</v>
      </c>
      <c r="AF34" s="130">
        <f t="shared" si="45"/>
        <v>0</v>
      </c>
      <c r="AG34" s="130">
        <f t="shared" si="46"/>
        <v>0</v>
      </c>
      <c r="AH34" s="130">
        <f t="shared" si="47"/>
        <v>0</v>
      </c>
      <c r="AI34" s="121">
        <f t="shared" si="48"/>
        <v>0</v>
      </c>
      <c r="AJ34" s="121">
        <f t="shared" si="49"/>
        <v>0</v>
      </c>
      <c r="AK34" s="121">
        <f t="shared" si="50"/>
        <v>0</v>
      </c>
      <c r="AL34" s="121">
        <f t="shared" si="51"/>
        <v>0</v>
      </c>
      <c r="AM34" s="130">
        <f t="shared" si="52"/>
        <v>0</v>
      </c>
      <c r="AN34" s="121">
        <f t="shared" si="53"/>
        <v>0</v>
      </c>
      <c r="AO34" s="121">
        <f t="shared" ca="1" si="54"/>
        <v>0</v>
      </c>
      <c r="AP34" s="220"/>
      <c r="AQ34" s="121">
        <f t="shared" si="55"/>
        <v>0</v>
      </c>
      <c r="AR34" s="220"/>
      <c r="AS34" s="220"/>
      <c r="AT34" s="220"/>
      <c r="AU34" s="220"/>
      <c r="AV34" s="122">
        <f t="shared" ca="1" si="56"/>
        <v>0</v>
      </c>
      <c r="AW34" s="123">
        <f t="shared" si="57"/>
        <v>0</v>
      </c>
      <c r="AX34" s="121">
        <f t="shared" si="58"/>
        <v>0</v>
      </c>
      <c r="AY34" s="121">
        <f t="shared" si="59"/>
        <v>0</v>
      </c>
      <c r="AZ34" s="121">
        <f t="shared" si="60"/>
        <v>0</v>
      </c>
      <c r="BA34" s="121">
        <f t="shared" si="61"/>
        <v>0</v>
      </c>
      <c r="BB34" s="121">
        <f t="shared" si="62"/>
        <v>0</v>
      </c>
      <c r="BC34" s="121">
        <f t="shared" si="63"/>
        <v>0</v>
      </c>
      <c r="BD34" s="220"/>
      <c r="BE34" s="197">
        <f t="shared" si="64"/>
        <v>0</v>
      </c>
      <c r="BF34" s="220"/>
      <c r="BG34" s="220"/>
      <c r="BH34" s="220"/>
      <c r="BI34" s="220"/>
      <c r="BJ34" s="121">
        <f t="shared" si="65"/>
        <v>0</v>
      </c>
      <c r="BK34" s="121">
        <f t="shared" si="66"/>
        <v>0</v>
      </c>
      <c r="BL34" s="124"/>
      <c r="BM34" s="121">
        <f t="shared" si="67"/>
        <v>0</v>
      </c>
      <c r="BN34" s="121">
        <f t="shared" si="68"/>
        <v>1</v>
      </c>
      <c r="BO34" s="121">
        <f t="shared" si="69"/>
        <v>0</v>
      </c>
      <c r="BP34" s="121">
        <f t="shared" si="70"/>
        <v>0</v>
      </c>
      <c r="BQ34" s="125" t="str">
        <f t="shared" si="71"/>
        <v/>
      </c>
      <c r="BR34" s="223"/>
      <c r="BS34" s="224"/>
      <c r="BT34" s="264">
        <f t="shared" si="72"/>
        <v>0</v>
      </c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Y34" s="18">
        <v>3</v>
      </c>
      <c r="CZ34" s="50" t="s">
        <v>250</v>
      </c>
      <c r="DA34" s="29"/>
      <c r="DB34" s="29"/>
      <c r="DC34" s="126" t="s">
        <v>246</v>
      </c>
      <c r="DD34" s="72">
        <f>BB47</f>
        <v>0</v>
      </c>
      <c r="DE34" s="72"/>
      <c r="DF34" s="73">
        <f>DD34-DE34</f>
        <v>0</v>
      </c>
      <c r="DG34"/>
      <c r="DH34" s="35"/>
      <c r="DI34" s="36"/>
      <c r="DJ34" s="19" t="s">
        <v>13</v>
      </c>
      <c r="DK34" s="21"/>
      <c r="DL34" s="21"/>
      <c r="DM34" s="24">
        <f>C21</f>
        <v>0</v>
      </c>
      <c r="DN34" s="20"/>
      <c r="DO34" s="37" t="s">
        <v>14</v>
      </c>
      <c r="DP34" s="24">
        <f>H21</f>
        <v>0</v>
      </c>
      <c r="DQ34" s="24"/>
      <c r="DR34" s="25"/>
      <c r="DY34" s="127"/>
      <c r="DZ34" s="13"/>
      <c r="EB34" s="13"/>
      <c r="ED34" s="13"/>
      <c r="FA34" s="13"/>
      <c r="FV34" s="128"/>
      <c r="FW34" s="129"/>
      <c r="FX34" s="128"/>
      <c r="FY34" s="128"/>
      <c r="GA34" s="93">
        <f>AG20</f>
        <v>0</v>
      </c>
      <c r="GB34" s="68" t="s">
        <v>251</v>
      </c>
    </row>
    <row r="35" spans="1:184" ht="18.75">
      <c r="A35" s="255"/>
      <c r="B35" s="246"/>
      <c r="C35" s="255"/>
      <c r="D35" s="245"/>
      <c r="E35" s="265"/>
      <c r="F35" s="262"/>
      <c r="G35" s="263"/>
      <c r="H35" s="120">
        <f t="shared" ca="1" si="38"/>
        <v>0</v>
      </c>
      <c r="I35" s="197">
        <f t="shared" si="39"/>
        <v>0</v>
      </c>
      <c r="J35" s="198">
        <f t="shared" si="40"/>
        <v>0</v>
      </c>
      <c r="K35" s="217"/>
      <c r="L35" s="217"/>
      <c r="M35" s="217"/>
      <c r="N35" s="217"/>
      <c r="O35" s="217"/>
      <c r="P35" s="217"/>
      <c r="Q35" s="217"/>
      <c r="R35" s="217"/>
      <c r="S35" s="217"/>
      <c r="T35" s="217"/>
      <c r="U35" s="120">
        <f t="shared" si="41"/>
        <v>0</v>
      </c>
      <c r="V35" s="217"/>
      <c r="W35" s="217"/>
      <c r="X35" s="217"/>
      <c r="Y35" s="219"/>
      <c r="Z35" s="219"/>
      <c r="AA35" s="219"/>
      <c r="AB35" s="121">
        <f t="shared" si="42"/>
        <v>0</v>
      </c>
      <c r="AC35" s="220"/>
      <c r="AD35" s="121">
        <f t="shared" si="43"/>
        <v>0</v>
      </c>
      <c r="AE35" s="130">
        <f t="shared" si="44"/>
        <v>0</v>
      </c>
      <c r="AF35" s="130">
        <f t="shared" si="45"/>
        <v>0</v>
      </c>
      <c r="AG35" s="130">
        <f t="shared" si="46"/>
        <v>0</v>
      </c>
      <c r="AH35" s="130">
        <f t="shared" si="47"/>
        <v>0</v>
      </c>
      <c r="AI35" s="121">
        <f t="shared" si="48"/>
        <v>0</v>
      </c>
      <c r="AJ35" s="121">
        <f t="shared" si="49"/>
        <v>0</v>
      </c>
      <c r="AK35" s="121">
        <f t="shared" si="50"/>
        <v>0</v>
      </c>
      <c r="AL35" s="121">
        <f t="shared" si="51"/>
        <v>0</v>
      </c>
      <c r="AM35" s="130">
        <f t="shared" si="52"/>
        <v>0</v>
      </c>
      <c r="AN35" s="121">
        <f t="shared" si="53"/>
        <v>0</v>
      </c>
      <c r="AO35" s="121">
        <f t="shared" ca="1" si="54"/>
        <v>0</v>
      </c>
      <c r="AP35" s="220"/>
      <c r="AQ35" s="121">
        <f t="shared" si="55"/>
        <v>0</v>
      </c>
      <c r="AR35" s="220"/>
      <c r="AS35" s="220"/>
      <c r="AT35" s="220"/>
      <c r="AU35" s="220"/>
      <c r="AV35" s="122">
        <f t="shared" ca="1" si="56"/>
        <v>0</v>
      </c>
      <c r="AW35" s="123">
        <f t="shared" si="57"/>
        <v>0</v>
      </c>
      <c r="AX35" s="121">
        <f t="shared" si="58"/>
        <v>0</v>
      </c>
      <c r="AY35" s="121">
        <f t="shared" si="59"/>
        <v>0</v>
      </c>
      <c r="AZ35" s="121">
        <f t="shared" si="60"/>
        <v>0</v>
      </c>
      <c r="BA35" s="121">
        <f t="shared" si="61"/>
        <v>0</v>
      </c>
      <c r="BB35" s="121">
        <f t="shared" si="62"/>
        <v>0</v>
      </c>
      <c r="BC35" s="121">
        <f t="shared" si="63"/>
        <v>0</v>
      </c>
      <c r="BD35" s="220"/>
      <c r="BE35" s="197">
        <f t="shared" si="64"/>
        <v>0</v>
      </c>
      <c r="BF35" s="220"/>
      <c r="BG35" s="220"/>
      <c r="BH35" s="220"/>
      <c r="BI35" s="220"/>
      <c r="BJ35" s="121">
        <f t="shared" si="65"/>
        <v>0</v>
      </c>
      <c r="BK35" s="121">
        <f t="shared" si="66"/>
        <v>0</v>
      </c>
      <c r="BL35" s="124"/>
      <c r="BM35" s="121">
        <f t="shared" si="67"/>
        <v>0</v>
      </c>
      <c r="BN35" s="121">
        <f t="shared" si="68"/>
        <v>1</v>
      </c>
      <c r="BO35" s="121">
        <f t="shared" si="69"/>
        <v>0</v>
      </c>
      <c r="BP35" s="121">
        <f t="shared" si="70"/>
        <v>0</v>
      </c>
      <c r="BQ35" s="125" t="str">
        <f t="shared" si="71"/>
        <v/>
      </c>
      <c r="BR35" s="223"/>
      <c r="BS35" s="224"/>
      <c r="BT35" s="264">
        <f t="shared" si="72"/>
        <v>0</v>
      </c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Y35" s="18"/>
      <c r="CZ35" s="50"/>
      <c r="DA35" s="29"/>
      <c r="DB35" s="29"/>
      <c r="DC35" s="29"/>
      <c r="DD35" s="72"/>
      <c r="DE35" s="72"/>
      <c r="DF35" s="73">
        <f>DD35-DE35</f>
        <v>0</v>
      </c>
      <c r="DG35"/>
      <c r="DH35" s="35"/>
      <c r="DI35" s="36"/>
      <c r="DJ35" s="40" t="s">
        <v>19</v>
      </c>
      <c r="DK35" s="41">
        <f>U30</f>
        <v>180</v>
      </c>
      <c r="DL35" s="20"/>
      <c r="DM35" s="42"/>
      <c r="DN35" s="21"/>
      <c r="DO35" s="21" t="s">
        <v>20</v>
      </c>
      <c r="DP35" s="43">
        <f>I21</f>
        <v>0</v>
      </c>
      <c r="DQ35" s="20"/>
      <c r="DR35" s="25"/>
      <c r="FA35" s="13"/>
      <c r="FB35" s="13"/>
      <c r="FV35" s="128"/>
      <c r="FW35" s="129"/>
      <c r="FX35" s="128"/>
      <c r="FY35" s="128"/>
      <c r="GA35" s="93">
        <f>AH20</f>
        <v>0</v>
      </c>
      <c r="GB35" s="68" t="s">
        <v>252</v>
      </c>
    </row>
    <row r="36" spans="1:184" ht="18.75">
      <c r="A36" s="255"/>
      <c r="B36" s="246"/>
      <c r="C36" s="255"/>
      <c r="D36" s="245"/>
      <c r="E36" s="265"/>
      <c r="F36" s="262"/>
      <c r="G36" s="263"/>
      <c r="H36" s="120">
        <f t="shared" ref="H36:H42" ca="1" si="73">IF((YEAR(E$28-F36-G36)-1900)&lt;60,(YEAR(E$28-F36-G36)-1900),0)</f>
        <v>0</v>
      </c>
      <c r="I36" s="197">
        <f t="shared" ref="I36:I42" si="74">D36*$I$30</f>
        <v>0</v>
      </c>
      <c r="J36" s="198">
        <f t="shared" ref="J36:J42" si="75">IF(I36&gt;0,$J$30*8-SUM(K36:T36),0)</f>
        <v>0</v>
      </c>
      <c r="K36" s="217"/>
      <c r="L36" s="217"/>
      <c r="M36" s="217"/>
      <c r="N36" s="217"/>
      <c r="O36" s="217"/>
      <c r="P36" s="217"/>
      <c r="Q36" s="217"/>
      <c r="R36" s="217"/>
      <c r="S36" s="217"/>
      <c r="T36" s="217"/>
      <c r="U36" s="120">
        <f t="shared" ref="U36:U42" si="76">SUM(J36:T36)</f>
        <v>0</v>
      </c>
      <c r="V36" s="217"/>
      <c r="W36" s="217"/>
      <c r="X36" s="217"/>
      <c r="Y36" s="219"/>
      <c r="Z36" s="219"/>
      <c r="AA36" s="219"/>
      <c r="AB36" s="121">
        <f t="shared" ref="AB36:AB42" si="77">IF(U36&gt;0,I36*J36/U$30,0)</f>
        <v>0</v>
      </c>
      <c r="AC36" s="220"/>
      <c r="AD36" s="121">
        <f t="shared" ref="AD36:AD42" si="78">I36*AC36*BN36</f>
        <v>0</v>
      </c>
      <c r="AE36" s="130">
        <f t="shared" ref="AE36:AE42" si="79">IF($U36&gt;0,1.1*(AB36+AD36+AJ36+AK36+AL36)*V36/$U$30,0)</f>
        <v>0</v>
      </c>
      <c r="AF36" s="130">
        <f t="shared" ref="AF36:AF42" si="80">IF($U36&gt;0,0.26*(AB36+AD36+AJ36+AK36+AL36)*W36/$U$30,0)</f>
        <v>0</v>
      </c>
      <c r="AG36" s="130">
        <f t="shared" ref="AG36:AG42" si="81">IF($U36&gt;0,0.26*(AB36+AD36+AJ36+AK36+AL36)*X36/$U$30,0)</f>
        <v>0</v>
      </c>
      <c r="AH36" s="130">
        <f t="shared" ref="AH36:AH42" si="82">IF($U36&gt;0,1.3*(AB36+AD36+AJ36+AK36+AL36)*Y36/$U$30,0)</f>
        <v>0</v>
      </c>
      <c r="AI36" s="121">
        <f t="shared" ref="AI36:AI42" si="83">AB36+SUM(AD36:AH36)</f>
        <v>0</v>
      </c>
      <c r="AJ36" s="121">
        <f t="shared" ref="AJ36:AJ42" si="84">IF(U36&gt;0,I36*K36/U$30,0)</f>
        <v>0</v>
      </c>
      <c r="AK36" s="121">
        <f t="shared" ref="AK36:AK42" si="85">IF(U36&gt;0,I36*L36/U$30,0)</f>
        <v>0</v>
      </c>
      <c r="AL36" s="121">
        <f t="shared" ref="AL36:AL42" si="86">IF(U36&gt;0,I36*M36/U$30,0)</f>
        <v>0</v>
      </c>
      <c r="AM36" s="130">
        <f t="shared" ref="AM36:AM42" si="87">IF(U36&gt;0,0.65*H36*M36/U$30,0)</f>
        <v>0</v>
      </c>
      <c r="AN36" s="121">
        <f t="shared" ref="AN36:AN42" si="88">SUM(AJ36:AM36)</f>
        <v>0</v>
      </c>
      <c r="AO36" s="121">
        <f t="shared" ref="AO36:AO42" ca="1" si="89">H36*$AO$30*(AI36+AN36+AQ36)</f>
        <v>0</v>
      </c>
      <c r="AP36" s="220"/>
      <c r="AQ36" s="121">
        <f t="shared" ref="AQ36:AQ42" si="90">I36*AP36*BN36</f>
        <v>0</v>
      </c>
      <c r="AR36" s="220"/>
      <c r="AS36" s="220"/>
      <c r="AT36" s="220"/>
      <c r="AU36" s="220"/>
      <c r="AV36" s="122">
        <f t="shared" ref="AV36:AV42" ca="1" si="91">AO36+SUM(AQ36:AU36)</f>
        <v>0</v>
      </c>
      <c r="AW36" s="123">
        <f t="shared" ref="AW36:AW42" si="92">IF(U36&gt;0,IF(AI36+AN36+AV36&gt;(BN36*U36*$H$3),AI36+AN36+AV36,IF(AI36+AN36+AV36&lt;1,AI36+AN36+AV36,"ISPOD MINIMUMA")),0)</f>
        <v>0</v>
      </c>
      <c r="AX36" s="121">
        <f t="shared" ref="AX36:AX42" si="93">IF(AW36&gt;0,IF($AW36&gt;=BN36*$I$9,IF($AW36&lt;=5*BN36*$I$7,$AW36*$G$7/100,5*BN36*$I$7*$G$7/100),BN36*$I$9*$G$7/100),0)</f>
        <v>0</v>
      </c>
      <c r="AY36" s="121">
        <f t="shared" ref="AY36:AY42" si="94">IF(AW36&gt;0,IF($AW36&gt;=BN36*$I$9,IF($AW36&lt;=5*BN36*$I$7,$AW36*$G$8/100,5*BN36*$I$7*$G$8/100),BN36*$I$9*$G$8/100),0)</f>
        <v>0</v>
      </c>
      <c r="AZ36" s="121">
        <f t="shared" ref="AZ36:AZ42" si="95">IF(AW36&gt;0,IF($AW36&gt;=BN36*$I$9,IF($AW36&lt;=5*BN36*$I$7,$AW36*$G$9/100,5*BN36*$I$7*$G$9/100),BN36*$I$9*$G$9/100),0)</f>
        <v>0</v>
      </c>
      <c r="BA36" s="121">
        <f t="shared" ref="BA36:BA42" si="96">SUM(AX36:AZ36)</f>
        <v>0</v>
      </c>
      <c r="BB36" s="121">
        <f t="shared" ref="BB36:BB42" si="97">(AW36-IF(AW36&gt;0.1,$BB$30,0)*BN36)*$G$15/100</f>
        <v>0</v>
      </c>
      <c r="BC36" s="121">
        <f t="shared" ref="BC36:BC42" si="98">IF($I$30&lt;0.001,0,AW36-BA36-BB36)</f>
        <v>0</v>
      </c>
      <c r="BD36" s="220"/>
      <c r="BE36" s="197">
        <f t="shared" ref="BE36:BE42" si="99">BC36*0.1%</f>
        <v>0</v>
      </c>
      <c r="BF36" s="220"/>
      <c r="BG36" s="220"/>
      <c r="BH36" s="220"/>
      <c r="BI36" s="220"/>
      <c r="BJ36" s="121">
        <f t="shared" ref="BJ36:BJ42" si="100">SUM(BD36:BI36)</f>
        <v>0</v>
      </c>
      <c r="BK36" s="121">
        <f t="shared" ref="BK36:BK42" si="101">(BC36-BJ36)</f>
        <v>0</v>
      </c>
      <c r="BL36" s="124"/>
      <c r="BM36" s="121">
        <f t="shared" ref="BM36:BM42" si="102">BK36-BL36</f>
        <v>0</v>
      </c>
      <c r="BN36" s="121">
        <f t="shared" ref="BN36:BN42" si="103">(1-SUM(P36:T36)/$U$30)</f>
        <v>1</v>
      </c>
      <c r="BO36" s="121">
        <f t="shared" ref="BO36:BO42" si="104">BM36-BP36</f>
        <v>0</v>
      </c>
      <c r="BP36" s="121">
        <f t="shared" ref="BP36:BP42" si="105">IF(BS36&gt;0,ROUND(BM36*(1-BS36),0),BM36)</f>
        <v>0</v>
      </c>
      <c r="BQ36" s="125" t="str">
        <f t="shared" ref="BQ36:BQ42" si="106">IF(BM36&gt;0,FIXED(A36,0,TRUE)&amp;"  "&amp;IF(BP36=0,"_ТЕКУЋИ___","__________")&amp;E36,"")</f>
        <v/>
      </c>
      <c r="BR36" s="223"/>
      <c r="BS36" s="224"/>
      <c r="BT36" s="264">
        <f t="shared" ref="BT36:BT42" si="107">+AW36</f>
        <v>0</v>
      </c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Y36" s="18">
        <v>4</v>
      </c>
      <c r="CZ36" s="50" t="s">
        <v>253</v>
      </c>
      <c r="DA36" s="29"/>
      <c r="DB36" s="29"/>
      <c r="DC36" s="126" t="s">
        <v>246</v>
      </c>
      <c r="DD36" s="72">
        <f>DD19</f>
        <v>0</v>
      </c>
      <c r="DE36" s="72"/>
      <c r="DF36" s="73">
        <f>DD36-DE36</f>
        <v>0</v>
      </c>
      <c r="DG36"/>
      <c r="DH36" s="35"/>
      <c r="DI36" s="36"/>
      <c r="DJ36" s="40"/>
      <c r="DK36" s="52" t="s">
        <v>254</v>
      </c>
      <c r="DL36" s="21"/>
      <c r="DM36" s="53" t="s">
        <v>255</v>
      </c>
      <c r="DN36" s="21"/>
      <c r="DO36" s="21"/>
      <c r="DP36" s="52" t="s">
        <v>255</v>
      </c>
      <c r="DQ36" s="21"/>
      <c r="DR36" s="25"/>
      <c r="DY36" s="127"/>
      <c r="DZ36" s="13"/>
      <c r="EB36" s="13"/>
      <c r="ED36" s="13"/>
      <c r="FA36" s="13"/>
      <c r="FB36" s="13"/>
      <c r="FV36" s="128"/>
      <c r="FW36" s="129"/>
      <c r="FX36" s="128"/>
      <c r="FY36" s="128"/>
      <c r="GA36" s="93">
        <f>AR20</f>
        <v>0</v>
      </c>
      <c r="GB36" s="68" t="s">
        <v>148</v>
      </c>
    </row>
    <row r="37" spans="1:184" ht="18.75">
      <c r="A37" s="255"/>
      <c r="B37" s="246"/>
      <c r="C37" s="255"/>
      <c r="D37" s="245"/>
      <c r="E37" s="265"/>
      <c r="F37" s="262"/>
      <c r="G37" s="263"/>
      <c r="H37" s="120">
        <f t="shared" ca="1" si="73"/>
        <v>0</v>
      </c>
      <c r="I37" s="197">
        <f t="shared" si="74"/>
        <v>0</v>
      </c>
      <c r="J37" s="198">
        <f t="shared" si="75"/>
        <v>0</v>
      </c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120">
        <f t="shared" si="76"/>
        <v>0</v>
      </c>
      <c r="V37" s="217"/>
      <c r="W37" s="217"/>
      <c r="X37" s="217"/>
      <c r="Y37" s="219"/>
      <c r="Z37" s="219"/>
      <c r="AA37" s="219"/>
      <c r="AB37" s="121">
        <f t="shared" si="77"/>
        <v>0</v>
      </c>
      <c r="AC37" s="220"/>
      <c r="AD37" s="121">
        <f t="shared" si="78"/>
        <v>0</v>
      </c>
      <c r="AE37" s="130">
        <f t="shared" si="79"/>
        <v>0</v>
      </c>
      <c r="AF37" s="130">
        <f t="shared" si="80"/>
        <v>0</v>
      </c>
      <c r="AG37" s="130">
        <f t="shared" si="81"/>
        <v>0</v>
      </c>
      <c r="AH37" s="130">
        <f t="shared" si="82"/>
        <v>0</v>
      </c>
      <c r="AI37" s="121">
        <f t="shared" si="83"/>
        <v>0</v>
      </c>
      <c r="AJ37" s="121">
        <f t="shared" si="84"/>
        <v>0</v>
      </c>
      <c r="AK37" s="121">
        <f t="shared" si="85"/>
        <v>0</v>
      </c>
      <c r="AL37" s="121">
        <f t="shared" si="86"/>
        <v>0</v>
      </c>
      <c r="AM37" s="130">
        <f t="shared" si="87"/>
        <v>0</v>
      </c>
      <c r="AN37" s="121">
        <f t="shared" si="88"/>
        <v>0</v>
      </c>
      <c r="AO37" s="121">
        <f t="shared" ca="1" si="89"/>
        <v>0</v>
      </c>
      <c r="AP37" s="220"/>
      <c r="AQ37" s="121">
        <f t="shared" si="90"/>
        <v>0</v>
      </c>
      <c r="AR37" s="220"/>
      <c r="AS37" s="220"/>
      <c r="AT37" s="220"/>
      <c r="AU37" s="220"/>
      <c r="AV37" s="122">
        <f t="shared" ca="1" si="91"/>
        <v>0</v>
      </c>
      <c r="AW37" s="123">
        <f t="shared" si="92"/>
        <v>0</v>
      </c>
      <c r="AX37" s="121">
        <f t="shared" si="93"/>
        <v>0</v>
      </c>
      <c r="AY37" s="121">
        <f t="shared" si="94"/>
        <v>0</v>
      </c>
      <c r="AZ37" s="121">
        <f t="shared" si="95"/>
        <v>0</v>
      </c>
      <c r="BA37" s="121">
        <f t="shared" si="96"/>
        <v>0</v>
      </c>
      <c r="BB37" s="121">
        <f t="shared" si="97"/>
        <v>0</v>
      </c>
      <c r="BC37" s="121">
        <f t="shared" si="98"/>
        <v>0</v>
      </c>
      <c r="BD37" s="220"/>
      <c r="BE37" s="197">
        <f t="shared" si="99"/>
        <v>0</v>
      </c>
      <c r="BF37" s="220"/>
      <c r="BG37" s="220"/>
      <c r="BH37" s="220"/>
      <c r="BI37" s="220"/>
      <c r="BJ37" s="121">
        <f t="shared" si="100"/>
        <v>0</v>
      </c>
      <c r="BK37" s="121">
        <f t="shared" si="101"/>
        <v>0</v>
      </c>
      <c r="BL37" s="124"/>
      <c r="BM37" s="121">
        <f t="shared" si="102"/>
        <v>0</v>
      </c>
      <c r="BN37" s="121">
        <f t="shared" si="103"/>
        <v>1</v>
      </c>
      <c r="BO37" s="121">
        <f t="shared" si="104"/>
        <v>0</v>
      </c>
      <c r="BP37" s="121">
        <f t="shared" si="105"/>
        <v>0</v>
      </c>
      <c r="BQ37" s="125" t="str">
        <f t="shared" si="106"/>
        <v/>
      </c>
      <c r="BR37" s="223"/>
      <c r="BS37" s="224"/>
      <c r="BT37" s="264">
        <f t="shared" si="107"/>
        <v>0</v>
      </c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Z37" s="50"/>
      <c r="DA37" s="29"/>
      <c r="DB37" s="29"/>
      <c r="DC37" s="29"/>
      <c r="DD37" s="90" t="s">
        <v>93</v>
      </c>
      <c r="DE37" s="90" t="s">
        <v>93</v>
      </c>
      <c r="DF37" s="91" t="s">
        <v>93</v>
      </c>
      <c r="DG37"/>
      <c r="DH37" s="35"/>
      <c r="DI37" s="36"/>
      <c r="DJ37" s="40" t="s">
        <v>35</v>
      </c>
      <c r="DK37" s="21"/>
      <c r="DL37" s="21"/>
      <c r="DM37" s="41">
        <f>AW21</f>
        <v>0</v>
      </c>
      <c r="DN37" s="20" t="s">
        <v>36</v>
      </c>
      <c r="DO37" s="59" t="s">
        <v>37</v>
      </c>
      <c r="DP37" s="41">
        <f>BB21</f>
        <v>0</v>
      </c>
      <c r="DQ37" s="20"/>
      <c r="DR37" s="25"/>
      <c r="FA37" s="13"/>
      <c r="FV37" s="128"/>
      <c r="FW37" s="129"/>
      <c r="FX37" s="128"/>
      <c r="FY37" s="128"/>
      <c r="GA37" s="93">
        <f>AS20</f>
        <v>0</v>
      </c>
      <c r="GB37" s="68" t="s">
        <v>149</v>
      </c>
    </row>
    <row r="38" spans="1:184" ht="18.75">
      <c r="A38" s="255"/>
      <c r="B38" s="246"/>
      <c r="C38" s="255"/>
      <c r="D38" s="245"/>
      <c r="E38" s="265"/>
      <c r="F38" s="262"/>
      <c r="G38" s="263"/>
      <c r="H38" s="120">
        <f t="shared" ca="1" si="73"/>
        <v>0</v>
      </c>
      <c r="I38" s="197">
        <f t="shared" si="74"/>
        <v>0</v>
      </c>
      <c r="J38" s="198">
        <f t="shared" si="75"/>
        <v>0</v>
      </c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120">
        <f t="shared" si="76"/>
        <v>0</v>
      </c>
      <c r="V38" s="217"/>
      <c r="W38" s="217"/>
      <c r="X38" s="217"/>
      <c r="Y38" s="219"/>
      <c r="Z38" s="219"/>
      <c r="AA38" s="219"/>
      <c r="AB38" s="121">
        <f t="shared" si="77"/>
        <v>0</v>
      </c>
      <c r="AC38" s="220"/>
      <c r="AD38" s="121">
        <f t="shared" si="78"/>
        <v>0</v>
      </c>
      <c r="AE38" s="130">
        <f t="shared" si="79"/>
        <v>0</v>
      </c>
      <c r="AF38" s="130">
        <f t="shared" si="80"/>
        <v>0</v>
      </c>
      <c r="AG38" s="130">
        <f t="shared" si="81"/>
        <v>0</v>
      </c>
      <c r="AH38" s="130">
        <f t="shared" si="82"/>
        <v>0</v>
      </c>
      <c r="AI38" s="121">
        <f t="shared" si="83"/>
        <v>0</v>
      </c>
      <c r="AJ38" s="121">
        <f t="shared" si="84"/>
        <v>0</v>
      </c>
      <c r="AK38" s="121">
        <f t="shared" si="85"/>
        <v>0</v>
      </c>
      <c r="AL38" s="121">
        <f t="shared" si="86"/>
        <v>0</v>
      </c>
      <c r="AM38" s="130">
        <f t="shared" si="87"/>
        <v>0</v>
      </c>
      <c r="AN38" s="121">
        <f t="shared" si="88"/>
        <v>0</v>
      </c>
      <c r="AO38" s="121">
        <f t="shared" ca="1" si="89"/>
        <v>0</v>
      </c>
      <c r="AP38" s="220"/>
      <c r="AQ38" s="121">
        <f t="shared" si="90"/>
        <v>0</v>
      </c>
      <c r="AR38" s="220"/>
      <c r="AS38" s="220"/>
      <c r="AT38" s="220"/>
      <c r="AU38" s="220"/>
      <c r="AV38" s="122">
        <f t="shared" ca="1" si="91"/>
        <v>0</v>
      </c>
      <c r="AW38" s="123">
        <f t="shared" si="92"/>
        <v>0</v>
      </c>
      <c r="AX38" s="121">
        <f t="shared" si="93"/>
        <v>0</v>
      </c>
      <c r="AY38" s="121">
        <f t="shared" si="94"/>
        <v>0</v>
      </c>
      <c r="AZ38" s="121">
        <f t="shared" si="95"/>
        <v>0</v>
      </c>
      <c r="BA38" s="121">
        <f t="shared" si="96"/>
        <v>0</v>
      </c>
      <c r="BB38" s="121">
        <f t="shared" si="97"/>
        <v>0</v>
      </c>
      <c r="BC38" s="121">
        <f t="shared" si="98"/>
        <v>0</v>
      </c>
      <c r="BD38" s="220"/>
      <c r="BE38" s="197">
        <f t="shared" si="99"/>
        <v>0</v>
      </c>
      <c r="BF38" s="220"/>
      <c r="BG38" s="220"/>
      <c r="BH38" s="220"/>
      <c r="BI38" s="220"/>
      <c r="BJ38" s="121">
        <f t="shared" si="100"/>
        <v>0</v>
      </c>
      <c r="BK38" s="121">
        <f t="shared" si="101"/>
        <v>0</v>
      </c>
      <c r="BL38" s="124"/>
      <c r="BM38" s="121">
        <f t="shared" si="102"/>
        <v>0</v>
      </c>
      <c r="BN38" s="121">
        <f t="shared" si="103"/>
        <v>1</v>
      </c>
      <c r="BO38" s="121">
        <f t="shared" si="104"/>
        <v>0</v>
      </c>
      <c r="BP38" s="121">
        <f t="shared" si="105"/>
        <v>0</v>
      </c>
      <c r="BQ38" s="125" t="str">
        <f t="shared" si="106"/>
        <v/>
      </c>
      <c r="BR38" s="223"/>
      <c r="BS38" s="224"/>
      <c r="BT38" s="264">
        <f t="shared" si="107"/>
        <v>0</v>
      </c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Z38" s="50" t="s">
        <v>256</v>
      </c>
      <c r="DA38" s="29"/>
      <c r="DB38" s="126" t="s">
        <v>246</v>
      </c>
      <c r="DC38" s="126" t="s">
        <v>246</v>
      </c>
      <c r="DD38" s="72">
        <f>SUM(DD32:DD36)</f>
        <v>0</v>
      </c>
      <c r="DE38" s="72"/>
      <c r="DF38" s="73">
        <f t="shared" ref="DF38" si="108">SUM(DF32:DF36)</f>
        <v>0</v>
      </c>
      <c r="DG38"/>
      <c r="DH38" s="35"/>
      <c r="DI38" s="36"/>
      <c r="DJ38" s="40" t="s">
        <v>45</v>
      </c>
      <c r="DK38" s="41">
        <f>J21+Y21</f>
        <v>0</v>
      </c>
      <c r="DL38" s="20"/>
      <c r="DM38" s="41">
        <f>AI21</f>
        <v>0</v>
      </c>
      <c r="DN38" s="20" t="s">
        <v>36</v>
      </c>
      <c r="DO38" s="59"/>
      <c r="DP38" s="67"/>
      <c r="DQ38" s="21"/>
      <c r="DR38" s="25"/>
      <c r="DY38" s="127"/>
      <c r="DZ38" s="13"/>
      <c r="EB38" s="13"/>
      <c r="ED38" s="13"/>
      <c r="FA38" s="13"/>
      <c r="FB38" s="13"/>
      <c r="FV38" s="128"/>
      <c r="FW38" s="129"/>
      <c r="FX38" s="128"/>
      <c r="FY38" s="128"/>
      <c r="GA38" s="93">
        <f>AT20</f>
        <v>0</v>
      </c>
      <c r="GB38" s="68" t="s">
        <v>134</v>
      </c>
    </row>
    <row r="39" spans="1:184" ht="18.75">
      <c r="A39" s="255"/>
      <c r="B39" s="246"/>
      <c r="C39" s="255"/>
      <c r="D39" s="245"/>
      <c r="E39" s="265"/>
      <c r="F39" s="262"/>
      <c r="G39" s="263"/>
      <c r="H39" s="120">
        <f t="shared" ca="1" si="73"/>
        <v>0</v>
      </c>
      <c r="I39" s="197">
        <f t="shared" si="74"/>
        <v>0</v>
      </c>
      <c r="J39" s="198">
        <f t="shared" si="75"/>
        <v>0</v>
      </c>
      <c r="K39" s="217"/>
      <c r="L39" s="217"/>
      <c r="M39" s="217"/>
      <c r="N39" s="217"/>
      <c r="O39" s="217"/>
      <c r="P39" s="217"/>
      <c r="Q39" s="217"/>
      <c r="R39" s="217"/>
      <c r="S39" s="217"/>
      <c r="T39" s="217"/>
      <c r="U39" s="120">
        <f t="shared" si="76"/>
        <v>0</v>
      </c>
      <c r="V39" s="217"/>
      <c r="W39" s="217"/>
      <c r="X39" s="217"/>
      <c r="Y39" s="219"/>
      <c r="Z39" s="219"/>
      <c r="AA39" s="219"/>
      <c r="AB39" s="121">
        <f t="shared" si="77"/>
        <v>0</v>
      </c>
      <c r="AC39" s="220"/>
      <c r="AD39" s="121">
        <f t="shared" si="78"/>
        <v>0</v>
      </c>
      <c r="AE39" s="130">
        <f t="shared" si="79"/>
        <v>0</v>
      </c>
      <c r="AF39" s="130">
        <f t="shared" si="80"/>
        <v>0</v>
      </c>
      <c r="AG39" s="130">
        <f t="shared" si="81"/>
        <v>0</v>
      </c>
      <c r="AH39" s="130">
        <f t="shared" si="82"/>
        <v>0</v>
      </c>
      <c r="AI39" s="121">
        <f t="shared" si="83"/>
        <v>0</v>
      </c>
      <c r="AJ39" s="121">
        <f t="shared" si="84"/>
        <v>0</v>
      </c>
      <c r="AK39" s="121">
        <f t="shared" si="85"/>
        <v>0</v>
      </c>
      <c r="AL39" s="121">
        <f t="shared" si="86"/>
        <v>0</v>
      </c>
      <c r="AM39" s="130">
        <f t="shared" si="87"/>
        <v>0</v>
      </c>
      <c r="AN39" s="121">
        <f t="shared" si="88"/>
        <v>0</v>
      </c>
      <c r="AO39" s="121">
        <f t="shared" ca="1" si="89"/>
        <v>0</v>
      </c>
      <c r="AP39" s="220"/>
      <c r="AQ39" s="121">
        <f t="shared" si="90"/>
        <v>0</v>
      </c>
      <c r="AR39" s="220"/>
      <c r="AS39" s="220"/>
      <c r="AT39" s="220"/>
      <c r="AU39" s="220"/>
      <c r="AV39" s="122">
        <f t="shared" ca="1" si="91"/>
        <v>0</v>
      </c>
      <c r="AW39" s="123">
        <f t="shared" si="92"/>
        <v>0</v>
      </c>
      <c r="AX39" s="121">
        <f t="shared" si="93"/>
        <v>0</v>
      </c>
      <c r="AY39" s="121">
        <f t="shared" si="94"/>
        <v>0</v>
      </c>
      <c r="AZ39" s="121">
        <f t="shared" si="95"/>
        <v>0</v>
      </c>
      <c r="BA39" s="121">
        <f t="shared" si="96"/>
        <v>0</v>
      </c>
      <c r="BB39" s="121">
        <f t="shared" si="97"/>
        <v>0</v>
      </c>
      <c r="BC39" s="121">
        <f t="shared" si="98"/>
        <v>0</v>
      </c>
      <c r="BD39" s="220"/>
      <c r="BE39" s="197">
        <f t="shared" si="99"/>
        <v>0</v>
      </c>
      <c r="BF39" s="220"/>
      <c r="BG39" s="220"/>
      <c r="BH39" s="220"/>
      <c r="BI39" s="220"/>
      <c r="BJ39" s="121">
        <f t="shared" si="100"/>
        <v>0</v>
      </c>
      <c r="BK39" s="121">
        <f t="shared" si="101"/>
        <v>0</v>
      </c>
      <c r="BL39" s="124"/>
      <c r="BM39" s="121">
        <f t="shared" si="102"/>
        <v>0</v>
      </c>
      <c r="BN39" s="121">
        <f t="shared" si="103"/>
        <v>1</v>
      </c>
      <c r="BO39" s="121">
        <f t="shared" si="104"/>
        <v>0</v>
      </c>
      <c r="BP39" s="121">
        <f t="shared" si="105"/>
        <v>0</v>
      </c>
      <c r="BQ39" s="125" t="str">
        <f t="shared" si="106"/>
        <v/>
      </c>
      <c r="BR39" s="223"/>
      <c r="BS39" s="224"/>
      <c r="BT39" s="264">
        <f t="shared" si="107"/>
        <v>0</v>
      </c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Z39" s="50"/>
      <c r="DA39" s="29"/>
      <c r="DB39" s="29"/>
      <c r="DC39" s="29"/>
      <c r="DD39" s="29"/>
      <c r="DE39" s="131"/>
      <c r="DF39" s="39"/>
      <c r="DG39"/>
      <c r="DH39" s="35"/>
      <c r="DI39" s="36"/>
      <c r="DJ39" s="40" t="str">
        <f>IF(DM39&gt;0," - Ефективан рад :"," ")</f>
        <v xml:space="preserve"> </v>
      </c>
      <c r="DK39" s="41">
        <f>J21</f>
        <v>0</v>
      </c>
      <c r="DL39" s="20"/>
      <c r="DM39" s="41">
        <f>AB21</f>
        <v>0</v>
      </c>
      <c r="DN39" s="20" t="s">
        <v>36</v>
      </c>
      <c r="DO39" s="21" t="s">
        <v>50</v>
      </c>
      <c r="DP39" s="41">
        <f>BA21</f>
        <v>0</v>
      </c>
      <c r="DQ39" s="20"/>
      <c r="DR39" s="25"/>
      <c r="FA39" s="13"/>
      <c r="FB39" s="13"/>
      <c r="FV39" s="128"/>
      <c r="FW39" s="129"/>
      <c r="FX39" s="128"/>
      <c r="FY39" s="128"/>
      <c r="GA39" s="93">
        <f>AU20</f>
        <v>0</v>
      </c>
      <c r="GB39" s="68" t="s">
        <v>91</v>
      </c>
    </row>
    <row r="40" spans="1:184" ht="18.75">
      <c r="A40" s="255"/>
      <c r="B40" s="246"/>
      <c r="C40" s="255"/>
      <c r="D40" s="245"/>
      <c r="E40" s="265"/>
      <c r="F40" s="262"/>
      <c r="G40" s="263"/>
      <c r="H40" s="120">
        <f t="shared" ca="1" si="73"/>
        <v>0</v>
      </c>
      <c r="I40" s="197">
        <f t="shared" si="74"/>
        <v>0</v>
      </c>
      <c r="J40" s="198">
        <f t="shared" si="75"/>
        <v>0</v>
      </c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120">
        <f t="shared" si="76"/>
        <v>0</v>
      </c>
      <c r="V40" s="217"/>
      <c r="W40" s="217"/>
      <c r="X40" s="217"/>
      <c r="Y40" s="219"/>
      <c r="Z40" s="219"/>
      <c r="AA40" s="219"/>
      <c r="AB40" s="121">
        <f t="shared" si="77"/>
        <v>0</v>
      </c>
      <c r="AC40" s="220"/>
      <c r="AD40" s="121">
        <f t="shared" si="78"/>
        <v>0</v>
      </c>
      <c r="AE40" s="130">
        <f t="shared" si="79"/>
        <v>0</v>
      </c>
      <c r="AF40" s="130">
        <f t="shared" si="80"/>
        <v>0</v>
      </c>
      <c r="AG40" s="130">
        <f t="shared" si="81"/>
        <v>0</v>
      </c>
      <c r="AH40" s="130">
        <f t="shared" si="82"/>
        <v>0</v>
      </c>
      <c r="AI40" s="121">
        <f t="shared" si="83"/>
        <v>0</v>
      </c>
      <c r="AJ40" s="121">
        <f t="shared" si="84"/>
        <v>0</v>
      </c>
      <c r="AK40" s="121">
        <f t="shared" si="85"/>
        <v>0</v>
      </c>
      <c r="AL40" s="121">
        <f t="shared" si="86"/>
        <v>0</v>
      </c>
      <c r="AM40" s="130">
        <f t="shared" si="87"/>
        <v>0</v>
      </c>
      <c r="AN40" s="121">
        <f t="shared" si="88"/>
        <v>0</v>
      </c>
      <c r="AO40" s="121">
        <f t="shared" ca="1" si="89"/>
        <v>0</v>
      </c>
      <c r="AP40" s="220"/>
      <c r="AQ40" s="121">
        <f t="shared" si="90"/>
        <v>0</v>
      </c>
      <c r="AR40" s="220"/>
      <c r="AS40" s="220"/>
      <c r="AT40" s="220"/>
      <c r="AU40" s="220"/>
      <c r="AV40" s="122">
        <f t="shared" ca="1" si="91"/>
        <v>0</v>
      </c>
      <c r="AW40" s="123">
        <f t="shared" si="92"/>
        <v>0</v>
      </c>
      <c r="AX40" s="121">
        <f t="shared" si="93"/>
        <v>0</v>
      </c>
      <c r="AY40" s="121">
        <f t="shared" si="94"/>
        <v>0</v>
      </c>
      <c r="AZ40" s="121">
        <f t="shared" si="95"/>
        <v>0</v>
      </c>
      <c r="BA40" s="121">
        <f t="shared" si="96"/>
        <v>0</v>
      </c>
      <c r="BB40" s="121">
        <f t="shared" si="97"/>
        <v>0</v>
      </c>
      <c r="BC40" s="121">
        <f t="shared" si="98"/>
        <v>0</v>
      </c>
      <c r="BD40" s="220"/>
      <c r="BE40" s="197">
        <f t="shared" si="99"/>
        <v>0</v>
      </c>
      <c r="BF40" s="220"/>
      <c r="BG40" s="220"/>
      <c r="BH40" s="220"/>
      <c r="BI40" s="220"/>
      <c r="BJ40" s="121">
        <f t="shared" si="100"/>
        <v>0</v>
      </c>
      <c r="BK40" s="121">
        <f t="shared" si="101"/>
        <v>0</v>
      </c>
      <c r="BL40" s="124"/>
      <c r="BM40" s="121">
        <f t="shared" si="102"/>
        <v>0</v>
      </c>
      <c r="BN40" s="121">
        <f t="shared" si="103"/>
        <v>1</v>
      </c>
      <c r="BO40" s="121">
        <f t="shared" si="104"/>
        <v>0</v>
      </c>
      <c r="BP40" s="121">
        <f t="shared" si="105"/>
        <v>0</v>
      </c>
      <c r="BQ40" s="125" t="str">
        <f t="shared" si="106"/>
        <v/>
      </c>
      <c r="BR40" s="223"/>
      <c r="BS40" s="224"/>
      <c r="BT40" s="264">
        <f t="shared" si="107"/>
        <v>0</v>
      </c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Z40" s="50" t="s">
        <v>257</v>
      </c>
      <c r="DA40" s="29"/>
      <c r="DB40" s="29"/>
      <c r="DC40" s="29"/>
      <c r="DD40" s="29" t="e">
        <f>DD38/DD32</f>
        <v>#DIV/0!</v>
      </c>
      <c r="DE40" s="131"/>
      <c r="DF40" s="39"/>
      <c r="DG40"/>
      <c r="DH40" s="35"/>
      <c r="DI40" s="36"/>
      <c r="DJ40" s="40" t="str">
        <f>IF(DM40&gt;0," - Резултат рада :"," ")</f>
        <v xml:space="preserve"> </v>
      </c>
      <c r="DK40" s="41">
        <f>AC21</f>
        <v>0</v>
      </c>
      <c r="DL40" s="20"/>
      <c r="DM40" s="41">
        <f>AD21</f>
        <v>0</v>
      </c>
      <c r="DN40" s="20" t="s">
        <v>36</v>
      </c>
      <c r="DO40" s="21" t="s">
        <v>59</v>
      </c>
      <c r="DP40" s="41">
        <f>AX21</f>
        <v>0</v>
      </c>
      <c r="DQ40" s="20"/>
      <c r="DR40" s="25"/>
      <c r="DY40" s="127"/>
      <c r="DZ40" s="13"/>
      <c r="EB40" s="13"/>
      <c r="ED40" s="13"/>
      <c r="FA40" s="13"/>
      <c r="FB40" s="13"/>
      <c r="FV40" s="128"/>
      <c r="FW40" s="129"/>
      <c r="FX40" s="128"/>
      <c r="FY40" s="128"/>
      <c r="GA40" s="93">
        <f>AW20</f>
        <v>0</v>
      </c>
      <c r="GB40" s="68" t="s">
        <v>258</v>
      </c>
    </row>
    <row r="41" spans="1:184" ht="18.75">
      <c r="A41" s="255"/>
      <c r="B41" s="246"/>
      <c r="C41" s="255"/>
      <c r="D41" s="245"/>
      <c r="E41" s="265"/>
      <c r="F41" s="262"/>
      <c r="G41" s="263"/>
      <c r="H41" s="120">
        <f t="shared" ca="1" si="73"/>
        <v>0</v>
      </c>
      <c r="I41" s="197">
        <f t="shared" si="74"/>
        <v>0</v>
      </c>
      <c r="J41" s="198">
        <f t="shared" si="75"/>
        <v>0</v>
      </c>
      <c r="K41" s="217"/>
      <c r="L41" s="217"/>
      <c r="M41" s="217"/>
      <c r="N41" s="217"/>
      <c r="O41" s="217"/>
      <c r="P41" s="217"/>
      <c r="Q41" s="217"/>
      <c r="R41" s="217"/>
      <c r="S41" s="217"/>
      <c r="T41" s="217"/>
      <c r="U41" s="120">
        <f t="shared" si="76"/>
        <v>0</v>
      </c>
      <c r="V41" s="217"/>
      <c r="W41" s="217"/>
      <c r="X41" s="217"/>
      <c r="Y41" s="219"/>
      <c r="Z41" s="219"/>
      <c r="AA41" s="219"/>
      <c r="AB41" s="121">
        <f t="shared" si="77"/>
        <v>0</v>
      </c>
      <c r="AC41" s="220"/>
      <c r="AD41" s="121">
        <f t="shared" si="78"/>
        <v>0</v>
      </c>
      <c r="AE41" s="130">
        <f t="shared" si="79"/>
        <v>0</v>
      </c>
      <c r="AF41" s="130">
        <f t="shared" si="80"/>
        <v>0</v>
      </c>
      <c r="AG41" s="130">
        <f t="shared" si="81"/>
        <v>0</v>
      </c>
      <c r="AH41" s="130">
        <f t="shared" si="82"/>
        <v>0</v>
      </c>
      <c r="AI41" s="121">
        <f t="shared" si="83"/>
        <v>0</v>
      </c>
      <c r="AJ41" s="121">
        <f t="shared" si="84"/>
        <v>0</v>
      </c>
      <c r="AK41" s="121">
        <f t="shared" si="85"/>
        <v>0</v>
      </c>
      <c r="AL41" s="121">
        <f t="shared" si="86"/>
        <v>0</v>
      </c>
      <c r="AM41" s="130">
        <f t="shared" si="87"/>
        <v>0</v>
      </c>
      <c r="AN41" s="121">
        <f t="shared" si="88"/>
        <v>0</v>
      </c>
      <c r="AO41" s="121">
        <f t="shared" ca="1" si="89"/>
        <v>0</v>
      </c>
      <c r="AP41" s="220"/>
      <c r="AQ41" s="121">
        <f t="shared" si="90"/>
        <v>0</v>
      </c>
      <c r="AR41" s="220"/>
      <c r="AS41" s="220"/>
      <c r="AT41" s="220"/>
      <c r="AU41" s="220"/>
      <c r="AV41" s="122">
        <f t="shared" ca="1" si="91"/>
        <v>0</v>
      </c>
      <c r="AW41" s="123">
        <f t="shared" si="92"/>
        <v>0</v>
      </c>
      <c r="AX41" s="121">
        <f t="shared" si="93"/>
        <v>0</v>
      </c>
      <c r="AY41" s="121">
        <f t="shared" si="94"/>
        <v>0</v>
      </c>
      <c r="AZ41" s="121">
        <f t="shared" si="95"/>
        <v>0</v>
      </c>
      <c r="BA41" s="121">
        <f t="shared" si="96"/>
        <v>0</v>
      </c>
      <c r="BB41" s="121">
        <f t="shared" si="97"/>
        <v>0</v>
      </c>
      <c r="BC41" s="121">
        <f t="shared" si="98"/>
        <v>0</v>
      </c>
      <c r="BD41" s="220"/>
      <c r="BE41" s="197">
        <f t="shared" si="99"/>
        <v>0</v>
      </c>
      <c r="BF41" s="220"/>
      <c r="BG41" s="220"/>
      <c r="BH41" s="220"/>
      <c r="BI41" s="220"/>
      <c r="BJ41" s="121">
        <f t="shared" si="100"/>
        <v>0</v>
      </c>
      <c r="BK41" s="121">
        <f t="shared" si="101"/>
        <v>0</v>
      </c>
      <c r="BL41" s="124"/>
      <c r="BM41" s="121">
        <f t="shared" si="102"/>
        <v>0</v>
      </c>
      <c r="BN41" s="121">
        <f t="shared" si="103"/>
        <v>1</v>
      </c>
      <c r="BO41" s="121">
        <f t="shared" si="104"/>
        <v>0</v>
      </c>
      <c r="BP41" s="121">
        <f t="shared" si="105"/>
        <v>0</v>
      </c>
      <c r="BQ41" s="125" t="str">
        <f t="shared" si="106"/>
        <v/>
      </c>
      <c r="BR41" s="223"/>
      <c r="BS41" s="224"/>
      <c r="BT41" s="264">
        <f t="shared" si="107"/>
        <v>0</v>
      </c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Z41" s="50"/>
      <c r="DA41" s="29"/>
      <c r="DB41" s="29"/>
      <c r="DC41" s="29"/>
      <c r="DD41" s="29"/>
      <c r="DE41" s="29"/>
      <c r="DF41" s="39"/>
      <c r="DG41"/>
      <c r="DH41" s="35"/>
      <c r="DI41" s="36"/>
      <c r="DJ41" s="40" t="str">
        <f>IF(DM41&gt;0," - Рад на држ.празник  .:"," ")</f>
        <v xml:space="preserve"> </v>
      </c>
      <c r="DK41" s="41">
        <f>V21</f>
        <v>0</v>
      </c>
      <c r="DL41" s="20"/>
      <c r="DM41" s="41">
        <f>AE21</f>
        <v>0</v>
      </c>
      <c r="DN41" s="20" t="s">
        <v>36</v>
      </c>
      <c r="DO41" s="21" t="s">
        <v>71</v>
      </c>
      <c r="DP41" s="41">
        <f>AY21</f>
        <v>0</v>
      </c>
      <c r="DQ41" s="20"/>
      <c r="DR41" s="25"/>
      <c r="FA41" s="13"/>
      <c r="FB41" s="13"/>
      <c r="FV41" s="128"/>
      <c r="FW41" s="129"/>
      <c r="FX41" s="128"/>
      <c r="FY41" s="128"/>
      <c r="GA41" s="132">
        <f>IF(AW20&lt;I9*BN20,I9*BN20, IF(AW20&lt;5*I7*BN20,  AW20,5*I7*BN20))</f>
        <v>0</v>
      </c>
      <c r="GB41" s="68" t="s">
        <v>259</v>
      </c>
    </row>
    <row r="42" spans="1:184" ht="18.75">
      <c r="A42" s="255"/>
      <c r="B42" s="246"/>
      <c r="C42" s="255"/>
      <c r="D42" s="245"/>
      <c r="E42" s="265"/>
      <c r="F42" s="262"/>
      <c r="G42" s="263"/>
      <c r="H42" s="120">
        <f t="shared" ca="1" si="73"/>
        <v>0</v>
      </c>
      <c r="I42" s="197">
        <f t="shared" si="74"/>
        <v>0</v>
      </c>
      <c r="J42" s="198">
        <f t="shared" si="75"/>
        <v>0</v>
      </c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120">
        <f t="shared" si="76"/>
        <v>0</v>
      </c>
      <c r="V42" s="217"/>
      <c r="W42" s="217"/>
      <c r="X42" s="217"/>
      <c r="Y42" s="219"/>
      <c r="Z42" s="219"/>
      <c r="AA42" s="219"/>
      <c r="AB42" s="121">
        <f t="shared" si="77"/>
        <v>0</v>
      </c>
      <c r="AC42" s="220"/>
      <c r="AD42" s="121">
        <f t="shared" si="78"/>
        <v>0</v>
      </c>
      <c r="AE42" s="130">
        <f t="shared" si="79"/>
        <v>0</v>
      </c>
      <c r="AF42" s="130">
        <f t="shared" si="80"/>
        <v>0</v>
      </c>
      <c r="AG42" s="130">
        <f t="shared" si="81"/>
        <v>0</v>
      </c>
      <c r="AH42" s="130">
        <f t="shared" si="82"/>
        <v>0</v>
      </c>
      <c r="AI42" s="121">
        <f t="shared" si="83"/>
        <v>0</v>
      </c>
      <c r="AJ42" s="121">
        <f t="shared" si="84"/>
        <v>0</v>
      </c>
      <c r="AK42" s="121">
        <f t="shared" si="85"/>
        <v>0</v>
      </c>
      <c r="AL42" s="121">
        <f t="shared" si="86"/>
        <v>0</v>
      </c>
      <c r="AM42" s="130">
        <f t="shared" si="87"/>
        <v>0</v>
      </c>
      <c r="AN42" s="121">
        <f t="shared" si="88"/>
        <v>0</v>
      </c>
      <c r="AO42" s="121">
        <f t="shared" ca="1" si="89"/>
        <v>0</v>
      </c>
      <c r="AP42" s="220"/>
      <c r="AQ42" s="121">
        <f t="shared" si="90"/>
        <v>0</v>
      </c>
      <c r="AR42" s="220"/>
      <c r="AS42" s="220"/>
      <c r="AT42" s="220"/>
      <c r="AU42" s="220"/>
      <c r="AV42" s="122">
        <f t="shared" ca="1" si="91"/>
        <v>0</v>
      </c>
      <c r="AW42" s="123">
        <f t="shared" si="92"/>
        <v>0</v>
      </c>
      <c r="AX42" s="121">
        <f t="shared" si="93"/>
        <v>0</v>
      </c>
      <c r="AY42" s="121">
        <f t="shared" si="94"/>
        <v>0</v>
      </c>
      <c r="AZ42" s="121">
        <f t="shared" si="95"/>
        <v>0</v>
      </c>
      <c r="BA42" s="121">
        <f t="shared" si="96"/>
        <v>0</v>
      </c>
      <c r="BB42" s="121">
        <f t="shared" si="97"/>
        <v>0</v>
      </c>
      <c r="BC42" s="121">
        <f t="shared" si="98"/>
        <v>0</v>
      </c>
      <c r="BD42" s="220"/>
      <c r="BE42" s="197">
        <f t="shared" si="99"/>
        <v>0</v>
      </c>
      <c r="BF42" s="220"/>
      <c r="BG42" s="220"/>
      <c r="BH42" s="220"/>
      <c r="BI42" s="220"/>
      <c r="BJ42" s="121">
        <f t="shared" si="100"/>
        <v>0</v>
      </c>
      <c r="BK42" s="121">
        <f t="shared" si="101"/>
        <v>0</v>
      </c>
      <c r="BL42" s="124"/>
      <c r="BM42" s="121">
        <f t="shared" si="102"/>
        <v>0</v>
      </c>
      <c r="BN42" s="121">
        <f t="shared" si="103"/>
        <v>1</v>
      </c>
      <c r="BO42" s="121">
        <f t="shared" si="104"/>
        <v>0</v>
      </c>
      <c r="BP42" s="121">
        <f t="shared" si="105"/>
        <v>0</v>
      </c>
      <c r="BQ42" s="125" t="str">
        <f t="shared" si="106"/>
        <v/>
      </c>
      <c r="BR42" s="223"/>
      <c r="BS42" s="224"/>
      <c r="BT42" s="264">
        <f t="shared" si="107"/>
        <v>0</v>
      </c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Z42" s="50"/>
      <c r="DA42" s="29"/>
      <c r="DB42" s="29"/>
      <c r="DC42" s="29"/>
      <c r="DD42" s="29"/>
      <c r="DE42" s="29"/>
      <c r="DF42" s="39"/>
      <c r="DG42"/>
      <c r="DH42" s="35"/>
      <c r="DI42" s="36"/>
      <c r="DJ42" s="40" t="str">
        <f>IF(DM42&gt;0," - Рад ноћу :"," ")</f>
        <v xml:space="preserve"> </v>
      </c>
      <c r="DK42" s="41">
        <f>W21</f>
        <v>0</v>
      </c>
      <c r="DL42" s="20"/>
      <c r="DM42" s="41">
        <f>AF21</f>
        <v>0</v>
      </c>
      <c r="DN42" s="20" t="s">
        <v>36</v>
      </c>
      <c r="DO42" s="21" t="s">
        <v>74</v>
      </c>
      <c r="DP42" s="41">
        <f>AZ21</f>
        <v>0</v>
      </c>
      <c r="DQ42" s="20"/>
      <c r="DR42" s="25"/>
      <c r="DY42" s="127"/>
      <c r="DZ42" s="13"/>
      <c r="EB42" s="13"/>
      <c r="ED42" s="13"/>
      <c r="FA42" s="13"/>
      <c r="FV42" s="128"/>
      <c r="FW42" s="129"/>
      <c r="FX42" s="128"/>
      <c r="FY42" s="128"/>
      <c r="GA42" s="93">
        <f>BA20</f>
        <v>0</v>
      </c>
      <c r="GB42" s="68" t="s">
        <v>260</v>
      </c>
    </row>
    <row r="43" spans="1:184" ht="18.75">
      <c r="A43" s="255"/>
      <c r="B43" s="246"/>
      <c r="C43" s="255"/>
      <c r="D43" s="245"/>
      <c r="E43" s="265"/>
      <c r="F43" s="262"/>
      <c r="G43" s="263"/>
      <c r="H43" s="120">
        <f t="shared" ref="H43:H45" ca="1" si="109">IF((YEAR(E$28-F43-G43)-1900)&lt;60,(YEAR(E$28-F43-G43)-1900),0)</f>
        <v>0</v>
      </c>
      <c r="I43" s="197">
        <f t="shared" ref="I43:I45" si="110">D43*$I$30</f>
        <v>0</v>
      </c>
      <c r="J43" s="198">
        <f t="shared" ref="J43:J45" si="111">IF(I43&gt;0,$J$30*8-SUM(K43:T43),0)</f>
        <v>0</v>
      </c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120">
        <f t="shared" ref="U43:U45" si="112">SUM(J43:T43)</f>
        <v>0</v>
      </c>
      <c r="V43" s="217"/>
      <c r="W43" s="217"/>
      <c r="X43" s="217"/>
      <c r="Y43" s="219"/>
      <c r="Z43" s="219"/>
      <c r="AA43" s="219"/>
      <c r="AB43" s="121">
        <f t="shared" ref="AB43:AB45" si="113">IF(U43&gt;0,I43*J43/U$30,0)</f>
        <v>0</v>
      </c>
      <c r="AC43" s="220"/>
      <c r="AD43" s="121">
        <f t="shared" ref="AD43:AD45" si="114">I43*AC43*BN43</f>
        <v>0</v>
      </c>
      <c r="AE43" s="130">
        <f t="shared" ref="AE43:AE45" si="115">IF($U43&gt;0,1.1*(AB43+AD43+AJ43+AK43+AL43)*V43/$U$30,0)</f>
        <v>0</v>
      </c>
      <c r="AF43" s="130">
        <f t="shared" ref="AF43:AF45" si="116">IF($U43&gt;0,0.26*(AB43+AD43+AJ43+AK43+AL43)*W43/$U$30,0)</f>
        <v>0</v>
      </c>
      <c r="AG43" s="130">
        <f t="shared" ref="AG43:AG45" si="117">IF($U43&gt;0,0.26*(AB43+AD43+AJ43+AK43+AL43)*X43/$U$30,0)</f>
        <v>0</v>
      </c>
      <c r="AH43" s="130">
        <f t="shared" ref="AH43:AH45" si="118">IF($U43&gt;0,1.3*(AB43+AD43+AJ43+AK43+AL43)*Y43/$U$30,0)</f>
        <v>0</v>
      </c>
      <c r="AI43" s="121">
        <f t="shared" ref="AI43:AI45" si="119">AB43+SUM(AD43:AH43)</f>
        <v>0</v>
      </c>
      <c r="AJ43" s="121">
        <f t="shared" ref="AJ43:AJ45" si="120">IF(U43&gt;0,I43*K43/U$30,0)</f>
        <v>0</v>
      </c>
      <c r="AK43" s="121">
        <f t="shared" ref="AK43:AK45" si="121">IF(U43&gt;0,I43*L43/U$30,0)</f>
        <v>0</v>
      </c>
      <c r="AL43" s="121">
        <f t="shared" ref="AL43:AL45" si="122">IF(U43&gt;0,I43*M43/U$30,0)</f>
        <v>0</v>
      </c>
      <c r="AM43" s="130">
        <f t="shared" ref="AM43:AM45" si="123">IF(U43&gt;0,0.65*H43*M43/U$30,0)</f>
        <v>0</v>
      </c>
      <c r="AN43" s="121">
        <f t="shared" ref="AN43:AN45" si="124">SUM(AJ43:AM43)</f>
        <v>0</v>
      </c>
      <c r="AO43" s="121">
        <f t="shared" ref="AO43:AO45" ca="1" si="125">H43*$AO$30*(AI43+AN43+AQ43)</f>
        <v>0</v>
      </c>
      <c r="AP43" s="220"/>
      <c r="AQ43" s="121">
        <f t="shared" ref="AQ43:AQ45" si="126">I43*AP43*BN43</f>
        <v>0</v>
      </c>
      <c r="AR43" s="220"/>
      <c r="AS43" s="220"/>
      <c r="AT43" s="220"/>
      <c r="AU43" s="220"/>
      <c r="AV43" s="122">
        <f t="shared" ref="AV43:AV45" ca="1" si="127">AO43+SUM(AQ43:AU43)</f>
        <v>0</v>
      </c>
      <c r="AW43" s="123">
        <f t="shared" ref="AW43:AW45" si="128">IF(U43&gt;0,IF(AI43+AN43+AV43&gt;(BN43*U43*$H$3),AI43+AN43+AV43,IF(AI43+AN43+AV43&lt;1,AI43+AN43+AV43,"ISPOD MINIMUMA")),0)</f>
        <v>0</v>
      </c>
      <c r="AX43" s="121">
        <f t="shared" ref="AX43:AX45" si="129">IF(AW43&gt;0,IF($AW43&gt;=BN43*$I$9,IF($AW43&lt;=5*BN43*$I$7,$AW43*$G$7/100,5*BN43*$I$7*$G$7/100),BN43*$I$9*$G$7/100),0)</f>
        <v>0</v>
      </c>
      <c r="AY43" s="121">
        <f t="shared" ref="AY43:AY45" si="130">IF(AW43&gt;0,IF($AW43&gt;=BN43*$I$9,IF($AW43&lt;=5*BN43*$I$7,$AW43*$G$8/100,5*BN43*$I$7*$G$8/100),BN43*$I$9*$G$8/100),0)</f>
        <v>0</v>
      </c>
      <c r="AZ43" s="121">
        <f t="shared" ref="AZ43:AZ45" si="131">IF(AW43&gt;0,IF($AW43&gt;=BN43*$I$9,IF($AW43&lt;=5*BN43*$I$7,$AW43*$G$9/100,5*BN43*$I$7*$G$9/100),BN43*$I$9*$G$9/100),0)</f>
        <v>0</v>
      </c>
      <c r="BA43" s="121">
        <f t="shared" ref="BA43:BA45" si="132">SUM(AX43:AZ43)</f>
        <v>0</v>
      </c>
      <c r="BB43" s="121">
        <f t="shared" ref="BB43:BB45" si="133">(AW43-IF(AW43&gt;0.1,$BB$30,0)*BN43)*$G$15/100</f>
        <v>0</v>
      </c>
      <c r="BC43" s="121">
        <f t="shared" ref="BC43:BC45" si="134">IF($I$30&lt;0.001,0,AW43-BA43-BB43)</f>
        <v>0</v>
      </c>
      <c r="BD43" s="220"/>
      <c r="BE43" s="197">
        <f t="shared" ref="BE43:BE45" si="135">BC43*0.1%</f>
        <v>0</v>
      </c>
      <c r="BF43" s="220"/>
      <c r="BG43" s="220"/>
      <c r="BH43" s="220"/>
      <c r="BI43" s="220"/>
      <c r="BJ43" s="121">
        <f t="shared" ref="BJ43:BJ45" si="136">SUM(BD43:BI43)</f>
        <v>0</v>
      </c>
      <c r="BK43" s="121">
        <f t="shared" ref="BK43:BK45" si="137">(BC43-BJ43)</f>
        <v>0</v>
      </c>
      <c r="BL43" s="124"/>
      <c r="BM43" s="121">
        <f t="shared" ref="BM43:BM45" si="138">BK43-BL43</f>
        <v>0</v>
      </c>
      <c r="BN43" s="121">
        <f t="shared" ref="BN43:BN45" si="139">(1-SUM(P43:T43)/$U$30)</f>
        <v>1</v>
      </c>
      <c r="BO43" s="121">
        <f t="shared" ref="BO43:BO45" si="140">BM43-BP43</f>
        <v>0</v>
      </c>
      <c r="BP43" s="121">
        <f t="shared" ref="BP43:BP45" si="141">IF(BS43&gt;0,ROUND(BM43*(1-BS43),0),BM43)</f>
        <v>0</v>
      </c>
      <c r="BQ43" s="125" t="str">
        <f t="shared" ref="BQ43:BQ45" si="142">IF(BM43&gt;0,FIXED(A43,0,TRUE)&amp;"  "&amp;IF(BP43=0,"_ТЕКУЋИ___","__________")&amp;E43,"")</f>
        <v/>
      </c>
      <c r="BR43" s="223"/>
      <c r="BS43" s="224"/>
      <c r="BT43" s="264">
        <f t="shared" ref="BT43:BT45" si="143">+AW43</f>
        <v>0</v>
      </c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Z43" s="50"/>
      <c r="DA43" s="29"/>
      <c r="DB43" s="29"/>
      <c r="DC43" s="29"/>
      <c r="DD43" s="65" t="s">
        <v>41</v>
      </c>
      <c r="DE43" s="65" t="s">
        <v>42</v>
      </c>
      <c r="DF43" s="66" t="s">
        <v>43</v>
      </c>
      <c r="DG43"/>
      <c r="DH43" s="35"/>
      <c r="DI43" s="36"/>
      <c r="DJ43" s="40" t="str">
        <f>IF(DM43&gt;0," - Дежурство:"," ")</f>
        <v xml:space="preserve"> </v>
      </c>
      <c r="DK43" s="41">
        <f>X21</f>
        <v>0</v>
      </c>
      <c r="DL43" s="20"/>
      <c r="DM43" s="41">
        <f>AG21</f>
        <v>0</v>
      </c>
      <c r="DN43" s="20" t="s">
        <v>36</v>
      </c>
      <c r="DO43" s="21"/>
      <c r="DP43" s="67"/>
      <c r="DQ43" s="21"/>
      <c r="DR43" s="25"/>
      <c r="FA43" s="13"/>
      <c r="FB43" s="13"/>
      <c r="FV43" s="128"/>
      <c r="FW43" s="129"/>
      <c r="FX43" s="128"/>
      <c r="FY43" s="128"/>
      <c r="GA43" s="93">
        <f>AX20</f>
        <v>0</v>
      </c>
      <c r="GB43" s="68" t="s">
        <v>152</v>
      </c>
    </row>
    <row r="44" spans="1:184" ht="18.75">
      <c r="A44" s="255"/>
      <c r="B44" s="246"/>
      <c r="C44" s="255"/>
      <c r="D44" s="245"/>
      <c r="E44" s="265"/>
      <c r="F44" s="262"/>
      <c r="G44" s="263"/>
      <c r="H44" s="120">
        <f t="shared" ca="1" si="109"/>
        <v>0</v>
      </c>
      <c r="I44" s="197">
        <f t="shared" si="110"/>
        <v>0</v>
      </c>
      <c r="J44" s="198">
        <f t="shared" si="111"/>
        <v>0</v>
      </c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120">
        <f t="shared" si="112"/>
        <v>0</v>
      </c>
      <c r="V44" s="217"/>
      <c r="W44" s="217"/>
      <c r="X44" s="217"/>
      <c r="Y44" s="219"/>
      <c r="Z44" s="219"/>
      <c r="AA44" s="219"/>
      <c r="AB44" s="121">
        <f t="shared" si="113"/>
        <v>0</v>
      </c>
      <c r="AC44" s="220"/>
      <c r="AD44" s="121">
        <f t="shared" si="114"/>
        <v>0</v>
      </c>
      <c r="AE44" s="130">
        <f t="shared" si="115"/>
        <v>0</v>
      </c>
      <c r="AF44" s="130">
        <f t="shared" si="116"/>
        <v>0</v>
      </c>
      <c r="AG44" s="130">
        <f t="shared" si="117"/>
        <v>0</v>
      </c>
      <c r="AH44" s="130">
        <f t="shared" si="118"/>
        <v>0</v>
      </c>
      <c r="AI44" s="121">
        <f t="shared" si="119"/>
        <v>0</v>
      </c>
      <c r="AJ44" s="121">
        <f t="shared" si="120"/>
        <v>0</v>
      </c>
      <c r="AK44" s="121">
        <f t="shared" si="121"/>
        <v>0</v>
      </c>
      <c r="AL44" s="121">
        <f t="shared" si="122"/>
        <v>0</v>
      </c>
      <c r="AM44" s="130">
        <f t="shared" si="123"/>
        <v>0</v>
      </c>
      <c r="AN44" s="121">
        <f t="shared" si="124"/>
        <v>0</v>
      </c>
      <c r="AO44" s="121">
        <f t="shared" ca="1" si="125"/>
        <v>0</v>
      </c>
      <c r="AP44" s="220"/>
      <c r="AQ44" s="121">
        <f t="shared" si="126"/>
        <v>0</v>
      </c>
      <c r="AR44" s="220"/>
      <c r="AS44" s="220"/>
      <c r="AT44" s="220"/>
      <c r="AU44" s="220"/>
      <c r="AV44" s="122">
        <f t="shared" ca="1" si="127"/>
        <v>0</v>
      </c>
      <c r="AW44" s="123">
        <f t="shared" si="128"/>
        <v>0</v>
      </c>
      <c r="AX44" s="121">
        <f t="shared" si="129"/>
        <v>0</v>
      </c>
      <c r="AY44" s="121">
        <f t="shared" si="130"/>
        <v>0</v>
      </c>
      <c r="AZ44" s="121">
        <f t="shared" si="131"/>
        <v>0</v>
      </c>
      <c r="BA44" s="121">
        <f t="shared" si="132"/>
        <v>0</v>
      </c>
      <c r="BB44" s="121">
        <f t="shared" si="133"/>
        <v>0</v>
      </c>
      <c r="BC44" s="121">
        <f t="shared" si="134"/>
        <v>0</v>
      </c>
      <c r="BD44" s="220"/>
      <c r="BE44" s="197">
        <f t="shared" si="135"/>
        <v>0</v>
      </c>
      <c r="BF44" s="220"/>
      <c r="BG44" s="220"/>
      <c r="BH44" s="220"/>
      <c r="BI44" s="220"/>
      <c r="BJ44" s="121">
        <f t="shared" si="136"/>
        <v>0</v>
      </c>
      <c r="BK44" s="121">
        <f t="shared" si="137"/>
        <v>0</v>
      </c>
      <c r="BL44" s="124"/>
      <c r="BM44" s="121">
        <f t="shared" si="138"/>
        <v>0</v>
      </c>
      <c r="BN44" s="121">
        <f t="shared" si="139"/>
        <v>1</v>
      </c>
      <c r="BO44" s="121">
        <f t="shared" si="140"/>
        <v>0</v>
      </c>
      <c r="BP44" s="121">
        <f t="shared" si="141"/>
        <v>0</v>
      </c>
      <c r="BQ44" s="125" t="str">
        <f t="shared" si="142"/>
        <v/>
      </c>
      <c r="BR44" s="223"/>
      <c r="BS44" s="224"/>
      <c r="BT44" s="264">
        <f t="shared" si="143"/>
        <v>0</v>
      </c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Z44" s="50"/>
      <c r="DA44" s="29"/>
      <c r="DB44" s="29" t="s">
        <v>261</v>
      </c>
      <c r="DC44" s="29"/>
      <c r="DD44" s="72">
        <f>DE44+DF44</f>
        <v>0</v>
      </c>
      <c r="DE44" s="72"/>
      <c r="DF44" s="73">
        <f>BM47-BO47</f>
        <v>0</v>
      </c>
      <c r="DG44"/>
      <c r="DH44" s="35"/>
      <c r="DI44" s="36"/>
      <c r="DJ44" s="40" t="str">
        <f>IF(DM44&gt;0," - Прековремени рад :"," ")</f>
        <v xml:space="preserve"> </v>
      </c>
      <c r="DK44" s="41">
        <f>Y21</f>
        <v>0</v>
      </c>
      <c r="DL44" s="20"/>
      <c r="DM44" s="41">
        <f>AH21</f>
        <v>0</v>
      </c>
      <c r="DN44" s="20" t="s">
        <v>36</v>
      </c>
      <c r="DO44" s="59" t="s">
        <v>80</v>
      </c>
      <c r="DP44" s="41">
        <f>BC21</f>
        <v>0</v>
      </c>
      <c r="DQ44" s="20"/>
      <c r="DR44" s="25"/>
      <c r="DY44" s="127"/>
      <c r="DZ44" s="13"/>
      <c r="EB44" s="13"/>
      <c r="ED44" s="13"/>
      <c r="FA44" s="13"/>
      <c r="FV44" s="128"/>
      <c r="FW44" s="129"/>
      <c r="FX44" s="128"/>
      <c r="FY44" s="128"/>
      <c r="GA44" s="93">
        <f>AY20</f>
        <v>0</v>
      </c>
      <c r="GB44" s="68" t="s">
        <v>153</v>
      </c>
    </row>
    <row r="45" spans="1:184" ht="19.5" thickBot="1">
      <c r="A45" s="255"/>
      <c r="B45" s="246"/>
      <c r="C45" s="255"/>
      <c r="D45" s="245"/>
      <c r="E45" s="265"/>
      <c r="F45" s="262"/>
      <c r="G45" s="263"/>
      <c r="H45" s="120">
        <f t="shared" ca="1" si="109"/>
        <v>0</v>
      </c>
      <c r="I45" s="197">
        <f t="shared" si="110"/>
        <v>0</v>
      </c>
      <c r="J45" s="198">
        <f t="shared" si="111"/>
        <v>0</v>
      </c>
      <c r="K45" s="217"/>
      <c r="L45" s="217"/>
      <c r="M45" s="217"/>
      <c r="N45" s="217"/>
      <c r="O45" s="217"/>
      <c r="P45" s="217"/>
      <c r="Q45" s="217"/>
      <c r="R45" s="217"/>
      <c r="S45" s="217"/>
      <c r="T45" s="217"/>
      <c r="U45" s="120">
        <f t="shared" si="112"/>
        <v>0</v>
      </c>
      <c r="V45" s="217"/>
      <c r="W45" s="217"/>
      <c r="X45" s="217"/>
      <c r="Y45" s="219"/>
      <c r="Z45" s="219"/>
      <c r="AA45" s="219"/>
      <c r="AB45" s="121">
        <f t="shared" si="113"/>
        <v>0</v>
      </c>
      <c r="AC45" s="220"/>
      <c r="AD45" s="121">
        <f t="shared" si="114"/>
        <v>0</v>
      </c>
      <c r="AE45" s="130">
        <f t="shared" si="115"/>
        <v>0</v>
      </c>
      <c r="AF45" s="130">
        <f t="shared" si="116"/>
        <v>0</v>
      </c>
      <c r="AG45" s="130">
        <f t="shared" si="117"/>
        <v>0</v>
      </c>
      <c r="AH45" s="130">
        <f t="shared" si="118"/>
        <v>0</v>
      </c>
      <c r="AI45" s="121">
        <f t="shared" si="119"/>
        <v>0</v>
      </c>
      <c r="AJ45" s="121">
        <f t="shared" si="120"/>
        <v>0</v>
      </c>
      <c r="AK45" s="121">
        <f t="shared" si="121"/>
        <v>0</v>
      </c>
      <c r="AL45" s="121">
        <f t="shared" si="122"/>
        <v>0</v>
      </c>
      <c r="AM45" s="130">
        <f t="shared" si="123"/>
        <v>0</v>
      </c>
      <c r="AN45" s="121">
        <f t="shared" si="124"/>
        <v>0</v>
      </c>
      <c r="AO45" s="121">
        <f t="shared" ca="1" si="125"/>
        <v>0</v>
      </c>
      <c r="AP45" s="220"/>
      <c r="AQ45" s="121">
        <f t="shared" si="126"/>
        <v>0</v>
      </c>
      <c r="AR45" s="220"/>
      <c r="AS45" s="220"/>
      <c r="AT45" s="220"/>
      <c r="AU45" s="220"/>
      <c r="AV45" s="122">
        <f t="shared" ca="1" si="127"/>
        <v>0</v>
      </c>
      <c r="AW45" s="123">
        <f t="shared" si="128"/>
        <v>0</v>
      </c>
      <c r="AX45" s="121">
        <f t="shared" si="129"/>
        <v>0</v>
      </c>
      <c r="AY45" s="121">
        <f t="shared" si="130"/>
        <v>0</v>
      </c>
      <c r="AZ45" s="121">
        <f t="shared" si="131"/>
        <v>0</v>
      </c>
      <c r="BA45" s="121">
        <f t="shared" si="132"/>
        <v>0</v>
      </c>
      <c r="BB45" s="121">
        <f t="shared" si="133"/>
        <v>0</v>
      </c>
      <c r="BC45" s="121">
        <f t="shared" si="134"/>
        <v>0</v>
      </c>
      <c r="BD45" s="220"/>
      <c r="BE45" s="197">
        <f t="shared" si="135"/>
        <v>0</v>
      </c>
      <c r="BF45" s="220"/>
      <c r="BG45" s="220"/>
      <c r="BH45" s="220"/>
      <c r="BI45" s="220"/>
      <c r="BJ45" s="121">
        <f t="shared" si="136"/>
        <v>0</v>
      </c>
      <c r="BK45" s="121">
        <f t="shared" si="137"/>
        <v>0</v>
      </c>
      <c r="BL45" s="124"/>
      <c r="BM45" s="121">
        <f t="shared" si="138"/>
        <v>0</v>
      </c>
      <c r="BN45" s="121">
        <f t="shared" si="139"/>
        <v>1</v>
      </c>
      <c r="BO45" s="121">
        <f t="shared" si="140"/>
        <v>0</v>
      </c>
      <c r="BP45" s="121">
        <f t="shared" si="141"/>
        <v>0</v>
      </c>
      <c r="BQ45" s="125" t="str">
        <f t="shared" si="142"/>
        <v/>
      </c>
      <c r="BR45" s="223"/>
      <c r="BS45" s="224"/>
      <c r="BT45" s="264">
        <f t="shared" si="143"/>
        <v>0</v>
      </c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Z45" s="50"/>
      <c r="DA45" s="29"/>
      <c r="DB45" s="29" t="s">
        <v>262</v>
      </c>
      <c r="DC45" s="29"/>
      <c r="DD45" s="72">
        <f>DE45+DF45</f>
        <v>0</v>
      </c>
      <c r="DE45" s="72"/>
      <c r="DF45" s="73">
        <f>BO47</f>
        <v>0</v>
      </c>
      <c r="DG45"/>
      <c r="DH45" s="35"/>
      <c r="DI45" s="36"/>
      <c r="DJ45" s="40" t="s">
        <v>84</v>
      </c>
      <c r="DK45" s="67"/>
      <c r="DL45" s="21"/>
      <c r="DM45" s="41">
        <f>AN21</f>
        <v>0</v>
      </c>
      <c r="DN45" s="20" t="s">
        <v>36</v>
      </c>
      <c r="DO45" s="21"/>
      <c r="DP45" s="22"/>
      <c r="DQ45" s="21"/>
      <c r="DR45" s="25"/>
      <c r="FA45" s="13"/>
      <c r="FV45" s="128"/>
      <c r="FW45" s="129"/>
      <c r="FX45" s="128"/>
      <c r="FY45" s="128"/>
      <c r="GA45" s="93">
        <f>AZ20</f>
        <v>0</v>
      </c>
      <c r="GB45" s="68" t="s">
        <v>263</v>
      </c>
    </row>
    <row r="46" spans="1:184" ht="18.75" thickBot="1">
      <c r="A46" s="260"/>
      <c r="B46" s="225"/>
      <c r="C46" s="256"/>
      <c r="D46" s="225"/>
      <c r="E46" s="256"/>
      <c r="F46" s="226"/>
      <c r="G46" s="225"/>
      <c r="H46" s="225"/>
      <c r="I46" s="225"/>
      <c r="J46" s="225"/>
      <c r="K46" s="225"/>
      <c r="L46" s="225"/>
      <c r="M46" s="225"/>
      <c r="N46" s="225"/>
      <c r="O46" s="225"/>
      <c r="P46" s="225"/>
      <c r="Q46" s="225"/>
      <c r="R46" s="225"/>
      <c r="S46" s="225"/>
      <c r="T46" s="225"/>
      <c r="U46" s="225"/>
      <c r="V46" s="225"/>
      <c r="W46" s="225"/>
      <c r="X46" s="225"/>
      <c r="Y46" s="225"/>
      <c r="Z46" s="225"/>
      <c r="AA46" s="225"/>
      <c r="AB46" s="225"/>
      <c r="AC46" s="225"/>
      <c r="AD46" s="225"/>
      <c r="AE46" s="225"/>
      <c r="AF46" s="225"/>
      <c r="AG46" s="225"/>
      <c r="AH46" s="225"/>
      <c r="AI46" s="225"/>
      <c r="AJ46" s="225"/>
      <c r="AK46" s="225"/>
      <c r="AL46" s="225"/>
      <c r="AM46" s="225"/>
      <c r="AN46" s="225"/>
      <c r="AO46" s="225"/>
      <c r="AP46" s="225"/>
      <c r="AQ46" s="225"/>
      <c r="AR46" s="225"/>
      <c r="AS46" s="225"/>
      <c r="AT46" s="225"/>
      <c r="AU46" s="225"/>
      <c r="AV46" s="225"/>
      <c r="AW46" s="225"/>
      <c r="AX46" s="225"/>
      <c r="AY46" s="225"/>
      <c r="AZ46" s="225"/>
      <c r="BA46" s="225"/>
      <c r="BB46" s="225"/>
      <c r="BC46" s="225"/>
      <c r="BD46" s="225"/>
      <c r="BE46" s="225"/>
      <c r="BF46" s="225"/>
      <c r="BG46" s="225"/>
      <c r="BH46" s="225"/>
      <c r="BI46" s="225"/>
      <c r="BJ46" s="225"/>
      <c r="BK46" s="227"/>
      <c r="BL46" s="227"/>
      <c r="BM46" s="227"/>
      <c r="BN46" s="227"/>
      <c r="BO46" s="227"/>
      <c r="BP46" s="227"/>
      <c r="BQ46" s="228"/>
      <c r="BR46" s="225"/>
      <c r="BS46" s="229"/>
      <c r="BT46" s="230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 s="141" t="s">
        <v>93</v>
      </c>
      <c r="CZ46" s="50"/>
      <c r="DA46" s="29"/>
      <c r="DB46" s="29" t="str">
        <f>"3. "&amp;BD29</f>
        <v>3. Обуставе кредита</v>
      </c>
      <c r="DC46" s="29"/>
      <c r="DD46" s="72">
        <f>BD47</f>
        <v>0</v>
      </c>
      <c r="DE46" s="72"/>
      <c r="DF46" s="73">
        <f t="shared" ref="DF46:DF51" si="144">DD46-DE46</f>
        <v>0</v>
      </c>
      <c r="DG46"/>
      <c r="DH46" s="35"/>
      <c r="DI46" s="36"/>
      <c r="DJ46" s="40" t="str">
        <f>IF(DM46&gt;0," - Државни празници :"," ")</f>
        <v xml:space="preserve"> </v>
      </c>
      <c r="DK46" s="41">
        <f>K21</f>
        <v>0</v>
      </c>
      <c r="DL46" s="20"/>
      <c r="DM46" s="41">
        <f>AJ21</f>
        <v>0</v>
      </c>
      <c r="DN46" s="20" t="s">
        <v>36</v>
      </c>
      <c r="DO46" s="59" t="s">
        <v>88</v>
      </c>
      <c r="DP46" s="41">
        <f>BJ21</f>
        <v>0</v>
      </c>
      <c r="DQ46" s="20"/>
      <c r="DR46" s="25"/>
      <c r="DY46" s="127"/>
      <c r="DZ46" s="13"/>
      <c r="EB46" s="13"/>
      <c r="ED46" s="13"/>
      <c r="FA46" s="13"/>
      <c r="FB46" s="13"/>
      <c r="FV46" s="128"/>
      <c r="FW46" s="129"/>
      <c r="FX46" s="128"/>
      <c r="FY46" s="128"/>
      <c r="GA46" s="93">
        <f>BB20</f>
        <v>0</v>
      </c>
      <c r="GB46" s="68" t="s">
        <v>264</v>
      </c>
    </row>
    <row r="47" spans="1:184" ht="18">
      <c r="A47" s="257"/>
      <c r="B47" s="142"/>
      <c r="C47" s="257"/>
      <c r="D47" s="142"/>
      <c r="E47" s="257"/>
      <c r="F47" s="202">
        <v>1000</v>
      </c>
      <c r="G47" s="203">
        <f>SUM(G32:G46)</f>
        <v>0</v>
      </c>
      <c r="H47" s="203">
        <f ca="1">SUM(H32:H46)</f>
        <v>0</v>
      </c>
      <c r="I47" s="203">
        <f t="shared" ref="I47:AN47" si="145">SUM(I31:I46)</f>
        <v>0</v>
      </c>
      <c r="J47" s="203">
        <f t="shared" si="145"/>
        <v>0</v>
      </c>
      <c r="K47" s="203">
        <f t="shared" si="145"/>
        <v>0</v>
      </c>
      <c r="L47" s="203">
        <f t="shared" si="145"/>
        <v>0</v>
      </c>
      <c r="M47" s="203">
        <f t="shared" si="145"/>
        <v>0</v>
      </c>
      <c r="N47" s="203">
        <f t="shared" si="145"/>
        <v>0</v>
      </c>
      <c r="O47" s="203">
        <f t="shared" si="145"/>
        <v>0</v>
      </c>
      <c r="P47" s="203">
        <f t="shared" si="145"/>
        <v>0</v>
      </c>
      <c r="Q47" s="203">
        <f t="shared" si="145"/>
        <v>0</v>
      </c>
      <c r="R47" s="203">
        <f t="shared" si="145"/>
        <v>0</v>
      </c>
      <c r="S47" s="203">
        <f t="shared" si="145"/>
        <v>0</v>
      </c>
      <c r="T47" s="203">
        <f t="shared" si="145"/>
        <v>0</v>
      </c>
      <c r="U47" s="203">
        <f t="shared" si="145"/>
        <v>0</v>
      </c>
      <c r="V47" s="203">
        <f t="shared" si="145"/>
        <v>0</v>
      </c>
      <c r="W47" s="203">
        <f t="shared" si="145"/>
        <v>0</v>
      </c>
      <c r="X47" s="203">
        <f t="shared" si="145"/>
        <v>0</v>
      </c>
      <c r="Y47" s="203">
        <f t="shared" si="145"/>
        <v>0</v>
      </c>
      <c r="Z47" s="203">
        <f t="shared" si="145"/>
        <v>0</v>
      </c>
      <c r="AA47" s="203">
        <f t="shared" si="145"/>
        <v>0</v>
      </c>
      <c r="AB47" s="203">
        <f t="shared" si="145"/>
        <v>0</v>
      </c>
      <c r="AC47" s="203">
        <f t="shared" si="145"/>
        <v>0</v>
      </c>
      <c r="AD47" s="203">
        <f t="shared" si="145"/>
        <v>0</v>
      </c>
      <c r="AE47" s="203">
        <f t="shared" si="145"/>
        <v>0</v>
      </c>
      <c r="AF47" s="203">
        <f t="shared" si="145"/>
        <v>0</v>
      </c>
      <c r="AG47" s="203">
        <f t="shared" si="145"/>
        <v>0</v>
      </c>
      <c r="AH47" s="203">
        <f t="shared" si="145"/>
        <v>0</v>
      </c>
      <c r="AI47" s="203">
        <f t="shared" si="145"/>
        <v>0</v>
      </c>
      <c r="AJ47" s="203">
        <f t="shared" si="145"/>
        <v>0</v>
      </c>
      <c r="AK47" s="203">
        <f t="shared" si="145"/>
        <v>0</v>
      </c>
      <c r="AL47" s="203">
        <f t="shared" si="145"/>
        <v>0</v>
      </c>
      <c r="AM47" s="203">
        <f t="shared" si="145"/>
        <v>0</v>
      </c>
      <c r="AN47" s="203">
        <f t="shared" si="145"/>
        <v>0</v>
      </c>
      <c r="AO47" s="203">
        <f t="shared" ref="AO47:BM47" ca="1" si="146">SUM(AO31:AO46)</f>
        <v>0</v>
      </c>
      <c r="AP47" s="203">
        <f t="shared" si="146"/>
        <v>0</v>
      </c>
      <c r="AQ47" s="203">
        <f t="shared" si="146"/>
        <v>0</v>
      </c>
      <c r="AR47" s="203">
        <f t="shared" si="146"/>
        <v>0</v>
      </c>
      <c r="AS47" s="203">
        <f t="shared" si="146"/>
        <v>0</v>
      </c>
      <c r="AT47" s="203">
        <f t="shared" si="146"/>
        <v>0</v>
      </c>
      <c r="AU47" s="203">
        <f t="shared" si="146"/>
        <v>0</v>
      </c>
      <c r="AV47" s="203">
        <f t="shared" ca="1" si="146"/>
        <v>0</v>
      </c>
      <c r="AW47" s="203">
        <f t="shared" si="146"/>
        <v>0</v>
      </c>
      <c r="AX47" s="203">
        <f t="shared" si="146"/>
        <v>0</v>
      </c>
      <c r="AY47" s="203">
        <f t="shared" si="146"/>
        <v>0</v>
      </c>
      <c r="AZ47" s="203">
        <f t="shared" si="146"/>
        <v>0</v>
      </c>
      <c r="BA47" s="203">
        <f t="shared" si="146"/>
        <v>0</v>
      </c>
      <c r="BB47" s="203">
        <f t="shared" si="146"/>
        <v>0</v>
      </c>
      <c r="BC47" s="203">
        <f t="shared" si="146"/>
        <v>0</v>
      </c>
      <c r="BD47" s="203">
        <f t="shared" si="146"/>
        <v>0</v>
      </c>
      <c r="BE47" s="203">
        <f t="shared" si="146"/>
        <v>0</v>
      </c>
      <c r="BF47" s="203">
        <f t="shared" si="146"/>
        <v>0</v>
      </c>
      <c r="BG47" s="203">
        <f t="shared" si="146"/>
        <v>0</v>
      </c>
      <c r="BH47" s="203">
        <f t="shared" si="146"/>
        <v>0</v>
      </c>
      <c r="BI47" s="203">
        <f t="shared" si="146"/>
        <v>0</v>
      </c>
      <c r="BJ47" s="203">
        <f t="shared" si="146"/>
        <v>0</v>
      </c>
      <c r="BK47" s="203">
        <f t="shared" si="146"/>
        <v>0</v>
      </c>
      <c r="BL47" s="203">
        <f t="shared" si="146"/>
        <v>0</v>
      </c>
      <c r="BM47" s="203">
        <f t="shared" si="146"/>
        <v>0</v>
      </c>
      <c r="BN47" s="204"/>
      <c r="BO47" s="203">
        <f>SUM(BO31:BO46)</f>
        <v>0</v>
      </c>
      <c r="BP47" s="203"/>
      <c r="BQ47" s="205">
        <v>1E-4</v>
      </c>
      <c r="BR47" s="206"/>
      <c r="BS47" s="206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 s="143"/>
      <c r="CZ47" s="50"/>
      <c r="DA47" s="29"/>
      <c r="DB47" s="29" t="str">
        <f>"4. "&amp;BE29</f>
        <v>4. Синдикална чланарина</v>
      </c>
      <c r="DC47" s="29"/>
      <c r="DD47" s="72">
        <f>BE47</f>
        <v>0</v>
      </c>
      <c r="DE47" s="72"/>
      <c r="DF47" s="73">
        <f t="shared" si="144"/>
        <v>0</v>
      </c>
      <c r="DG47"/>
      <c r="DH47" s="35"/>
      <c r="DI47" s="36"/>
      <c r="DJ47" s="40" t="str">
        <f>IF(DM47&gt;0," -  Годишњи одмор:"," ")</f>
        <v xml:space="preserve"> </v>
      </c>
      <c r="DK47" s="41">
        <f>L21</f>
        <v>0</v>
      </c>
      <c r="DL47" s="20"/>
      <c r="DM47" s="41">
        <f>AK21</f>
        <v>0</v>
      </c>
      <c r="DN47" s="20" t="s">
        <v>36</v>
      </c>
      <c r="DO47" s="59" t="str">
        <f>IF(DP47&gt;0," -Кредит :"," ")</f>
        <v xml:space="preserve"> </v>
      </c>
      <c r="DP47" s="41">
        <f>BD21</f>
        <v>0</v>
      </c>
      <c r="DQ47" s="20"/>
      <c r="DR47" s="25"/>
      <c r="FA47" s="13"/>
      <c r="FB47" s="13"/>
      <c r="FV47" s="128"/>
      <c r="FW47" s="129"/>
      <c r="FX47" s="128"/>
      <c r="FY47" s="128"/>
      <c r="GA47" s="93">
        <f>BC20</f>
        <v>0</v>
      </c>
      <c r="GB47" s="68" t="s">
        <v>265</v>
      </c>
    </row>
    <row r="48" spans="1:184" ht="18">
      <c r="A48" s="257"/>
      <c r="B48" s="142"/>
      <c r="C48" s="257"/>
      <c r="D48"/>
      <c r="E48" s="261"/>
      <c r="F48"/>
      <c r="G48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4"/>
      <c r="AB48" s="144"/>
      <c r="AC48" s="144"/>
      <c r="AD48" s="144"/>
      <c r="AE48" s="144"/>
      <c r="AF48" s="144"/>
      <c r="AG48" s="144"/>
      <c r="AH48" s="144"/>
      <c r="AI48" s="144"/>
      <c r="AJ48" s="144"/>
      <c r="AK48" s="144"/>
      <c r="AL48" s="144"/>
      <c r="AM48" s="144"/>
      <c r="AN48" s="144"/>
      <c r="AO48" s="144"/>
      <c r="AP48" s="144"/>
      <c r="AQ48" s="144"/>
      <c r="AR48" s="144"/>
      <c r="AS48" s="144"/>
      <c r="AT48" s="144"/>
      <c r="AU48" s="144"/>
      <c r="AV48" s="144"/>
      <c r="AW48" s="144"/>
      <c r="AX48" s="144"/>
      <c r="AY48" s="144"/>
      <c r="AZ48" s="144"/>
      <c r="BA48" s="144"/>
      <c r="BB48" s="144"/>
      <c r="BC48" s="144"/>
      <c r="BD48" s="144"/>
      <c r="BE48" s="144"/>
      <c r="BF48" s="144"/>
      <c r="BG48" s="144"/>
      <c r="BH48" s="144"/>
      <c r="BI48" s="144"/>
      <c r="BJ48" s="144"/>
      <c r="BK48" s="145"/>
      <c r="BL48" s="145"/>
      <c r="BM48" s="145"/>
      <c r="BN48" s="145"/>
      <c r="BO48" s="145"/>
      <c r="BP48" s="145"/>
      <c r="BQ48" s="107"/>
      <c r="BR48" s="144"/>
      <c r="BS48" s="142"/>
      <c r="BT48" s="144"/>
      <c r="CG48" s="146"/>
      <c r="CH48" s="128"/>
      <c r="CI48" s="128"/>
      <c r="CJ48" s="128"/>
      <c r="CK48" s="143"/>
      <c r="CZ48" s="50"/>
      <c r="DA48" s="29"/>
      <c r="DB48" s="29" t="str">
        <f>"5. "&amp;BF29</f>
        <v>5. Самодопри-нос</v>
      </c>
      <c r="DC48" s="29"/>
      <c r="DD48" s="133">
        <f>BF47</f>
        <v>0</v>
      </c>
      <c r="DE48" s="72"/>
      <c r="DF48" s="73">
        <f t="shared" si="144"/>
        <v>0</v>
      </c>
      <c r="DG48"/>
      <c r="DH48" s="35"/>
      <c r="DI48" s="36"/>
      <c r="DJ48" s="40" t="str">
        <f>IF(DM48&gt;0," - Плаћено одсуство :"," ")</f>
        <v xml:space="preserve"> </v>
      </c>
      <c r="DK48" s="41">
        <f>M21</f>
        <v>0</v>
      </c>
      <c r="DL48" s="20"/>
      <c r="DM48" s="41">
        <f>AL21</f>
        <v>0</v>
      </c>
      <c r="DN48" s="20" t="s">
        <v>36</v>
      </c>
      <c r="DO48" s="59" t="str">
        <f>IF(DP48&gt;0," - Синдикат:"," ")</f>
        <v xml:space="preserve"> </v>
      </c>
      <c r="DP48" s="41">
        <f>BE21</f>
        <v>0</v>
      </c>
      <c r="DQ48" s="20"/>
      <c r="DR48" s="25"/>
      <c r="DY48" s="127"/>
      <c r="DZ48" s="13"/>
      <c r="EB48" s="13"/>
      <c r="ED48" s="13"/>
      <c r="FA48" s="13"/>
      <c r="FV48" s="128"/>
      <c r="FW48" s="129"/>
      <c r="FX48" s="128"/>
      <c r="FY48" s="128"/>
      <c r="GA48" s="93">
        <f>BJ20</f>
        <v>0</v>
      </c>
      <c r="GB48" s="68" t="s">
        <v>266</v>
      </c>
    </row>
    <row r="49" spans="1:184" ht="18">
      <c r="A49" s="258"/>
      <c r="B49" s="144"/>
      <c r="C49" s="258"/>
      <c r="D49"/>
      <c r="E49" s="261"/>
      <c r="F49"/>
      <c r="G49"/>
      <c r="H49" s="144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4"/>
      <c r="AB49" s="144"/>
      <c r="AC49" s="144"/>
      <c r="AD49" s="144"/>
      <c r="AE49" s="144"/>
      <c r="AF49" s="144"/>
      <c r="AG49" s="144"/>
      <c r="AH49" s="144"/>
      <c r="AI49" s="144"/>
      <c r="AJ49" s="144"/>
      <c r="AK49" s="144"/>
      <c r="AL49" s="144"/>
      <c r="AM49" s="144"/>
      <c r="AN49" s="144"/>
      <c r="AO49" s="144"/>
      <c r="AP49" s="144"/>
      <c r="AQ49" s="144"/>
      <c r="AR49" s="144"/>
      <c r="AS49" s="144"/>
      <c r="AT49" s="144"/>
      <c r="AU49" s="144"/>
      <c r="AV49" s="144"/>
      <c r="AW49" s="144"/>
      <c r="AX49" s="144"/>
      <c r="AY49" s="144"/>
      <c r="AZ49" s="144"/>
      <c r="BA49" s="144"/>
      <c r="BB49" s="144"/>
      <c r="BC49" s="144"/>
      <c r="BD49" s="144"/>
      <c r="BE49" s="144"/>
      <c r="BF49" s="144"/>
      <c r="BG49" s="144"/>
      <c r="BH49" s="144"/>
      <c r="BI49" s="144"/>
      <c r="BJ49" s="144"/>
      <c r="BK49" s="144"/>
      <c r="BL49" s="144"/>
      <c r="BM49" s="144"/>
      <c r="BN49" s="144"/>
      <c r="BO49" s="144"/>
      <c r="BP49" s="144"/>
      <c r="BQ49" s="144"/>
      <c r="BR49" s="144"/>
      <c r="BS49" s="144"/>
      <c r="BT49" s="144"/>
      <c r="CA49" s="128"/>
      <c r="CB49" s="128"/>
      <c r="CG49" s="146"/>
      <c r="CH49" s="128"/>
      <c r="CI49" s="128"/>
      <c r="CJ49" s="128"/>
      <c r="CK49" s="143"/>
      <c r="CZ49" s="50"/>
      <c r="DA49" s="29"/>
      <c r="DB49" s="29" t="str">
        <f>"6. "&amp;BG29</f>
        <v>6. Обуставе</v>
      </c>
      <c r="DC49" s="29"/>
      <c r="DD49" s="72">
        <f>BG47</f>
        <v>0</v>
      </c>
      <c r="DE49" s="72"/>
      <c r="DF49" s="73">
        <f t="shared" si="144"/>
        <v>0</v>
      </c>
      <c r="DG49"/>
      <c r="DH49" s="35"/>
      <c r="DI49" s="36"/>
      <c r="DJ49" s="40" t="str">
        <f>IF(DM49&gt;0," - Плаћено боловање :"," ")</f>
        <v xml:space="preserve"> </v>
      </c>
      <c r="DK49" s="41">
        <f>N21</f>
        <v>0</v>
      </c>
      <c r="DL49" s="20"/>
      <c r="DM49" s="41">
        <f>AM21</f>
        <v>0</v>
      </c>
      <c r="DN49" s="20" t="s">
        <v>36</v>
      </c>
      <c r="DO49" s="59" t="str">
        <f>IF(DP49&gt;0," - Самодопринос:"," ")</f>
        <v xml:space="preserve"> </v>
      </c>
      <c r="DP49" s="41">
        <f>BF21</f>
        <v>0</v>
      </c>
      <c r="DQ49" s="20"/>
      <c r="DR49" s="25"/>
      <c r="FA49" s="13"/>
      <c r="FV49" s="128"/>
      <c r="FW49" s="129"/>
      <c r="FX49" s="128"/>
      <c r="FY49" s="128"/>
      <c r="GA49" s="93">
        <f>BD20</f>
        <v>0</v>
      </c>
      <c r="GB49" s="68" t="s">
        <v>158</v>
      </c>
    </row>
    <row r="50" spans="1:184" ht="18">
      <c r="A50" s="258"/>
      <c r="B50" s="144"/>
      <c r="C50" s="258"/>
      <c r="D50"/>
      <c r="E50" s="261"/>
      <c r="F50"/>
      <c r="G50"/>
      <c r="H50" s="144"/>
      <c r="I50" s="144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4"/>
      <c r="AB50" s="144"/>
      <c r="AC50" s="144"/>
      <c r="AD50" s="144"/>
      <c r="AE50" s="144"/>
      <c r="AF50" s="144"/>
      <c r="AG50" s="144"/>
      <c r="AH50" s="144"/>
      <c r="AI50" s="144"/>
      <c r="AJ50" s="144"/>
      <c r="AK50" s="144"/>
      <c r="AL50" s="144"/>
      <c r="AM50" s="144"/>
      <c r="AN50" s="144"/>
      <c r="AO50" s="144"/>
      <c r="AP50" s="144"/>
      <c r="AQ50" s="144"/>
      <c r="AR50" s="144"/>
      <c r="AS50" s="144"/>
      <c r="AT50" s="144"/>
      <c r="AU50" s="144"/>
      <c r="AV50" s="144"/>
      <c r="AW50" s="144"/>
      <c r="AX50" s="144"/>
      <c r="AY50" s="144"/>
      <c r="AZ50" s="144"/>
      <c r="BA50" s="144"/>
      <c r="BB50" s="144"/>
      <c r="BC50" s="144"/>
      <c r="BD50" s="144"/>
      <c r="BE50" s="144"/>
      <c r="BF50" s="144"/>
      <c r="BG50" s="144"/>
      <c r="BH50" s="144"/>
      <c r="BI50" s="144"/>
      <c r="BJ50" s="144"/>
      <c r="BK50" s="144"/>
      <c r="BL50" s="144"/>
      <c r="BM50" s="144"/>
      <c r="BN50" s="144"/>
      <c r="BO50" s="144"/>
      <c r="BP50" s="144"/>
      <c r="BQ50" s="144"/>
      <c r="BR50" s="144"/>
      <c r="BS50" s="144"/>
      <c r="BT50" s="144"/>
      <c r="CG50" s="146"/>
      <c r="CH50" s="128"/>
      <c r="CI50" s="128"/>
      <c r="CJ50" s="128"/>
      <c r="CK50" s="143"/>
      <c r="CZ50" s="50"/>
      <c r="DA50" s="29"/>
      <c r="DB50" s="29" t="str">
        <f>"7. "&amp;BH29</f>
        <v>7. Алимента-ција</v>
      </c>
      <c r="DC50" s="29"/>
      <c r="DD50" s="72">
        <f>BH47</f>
        <v>0</v>
      </c>
      <c r="DE50" s="72"/>
      <c r="DF50" s="73">
        <f t="shared" si="144"/>
        <v>0</v>
      </c>
      <c r="DG50"/>
      <c r="DH50" s="35"/>
      <c r="DI50" s="36"/>
      <c r="DJ50" s="40"/>
      <c r="DK50" s="41"/>
      <c r="DL50" s="20"/>
      <c r="DM50" s="41"/>
      <c r="DN50" s="20" t="s">
        <v>36</v>
      </c>
      <c r="DO50" s="59" t="str">
        <f>IF(DP50&gt;0," - Обуставе:"," ")</f>
        <v xml:space="preserve"> </v>
      </c>
      <c r="DP50" s="41">
        <f>BG21</f>
        <v>0</v>
      </c>
      <c r="DQ50" s="20"/>
      <c r="DR50" s="25"/>
      <c r="FV50" s="128"/>
      <c r="FW50" s="129"/>
      <c r="FX50" s="128"/>
      <c r="FY50" s="128"/>
      <c r="GA50" s="93">
        <f>BE20</f>
        <v>0</v>
      </c>
      <c r="GB50" s="68" t="s">
        <v>159</v>
      </c>
    </row>
    <row r="51" spans="1:184" ht="18">
      <c r="A51" s="258"/>
      <c r="B51" s="144"/>
      <c r="C51" s="258"/>
      <c r="D51"/>
      <c r="E51" s="261"/>
      <c r="F51"/>
      <c r="G51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  <c r="AC51" s="144"/>
      <c r="AD51" s="144"/>
      <c r="AE51" s="144"/>
      <c r="AF51" s="144"/>
      <c r="AG51" s="144"/>
      <c r="AH51" s="144"/>
      <c r="AI51" s="144"/>
      <c r="AJ51" s="144"/>
      <c r="AK51" s="144"/>
      <c r="AL51" s="144"/>
      <c r="AM51" s="144"/>
      <c r="AN51" s="144"/>
      <c r="AO51" s="144"/>
      <c r="AP51" s="144"/>
      <c r="AQ51" s="144"/>
      <c r="AR51" s="144"/>
      <c r="AS51" s="144"/>
      <c r="AT51" s="144"/>
      <c r="AU51" s="144"/>
      <c r="AV51" s="144"/>
      <c r="AW51" s="144"/>
      <c r="AX51" s="144"/>
      <c r="AY51" s="144"/>
      <c r="AZ51" s="144"/>
      <c r="BA51" s="144"/>
      <c r="BB51" s="144"/>
      <c r="BC51" s="144"/>
      <c r="BD51" s="144"/>
      <c r="BE51" s="144"/>
      <c r="BF51" s="144"/>
      <c r="BG51" s="144"/>
      <c r="BH51" s="144"/>
      <c r="BI51" s="144"/>
      <c r="BJ51" s="144"/>
      <c r="BK51" s="144"/>
      <c r="BL51" s="144"/>
      <c r="BM51" s="144"/>
      <c r="BN51" s="144"/>
      <c r="BO51" s="144"/>
      <c r="BP51" s="144"/>
      <c r="BQ51" s="144"/>
      <c r="BR51" s="144"/>
      <c r="BS51" s="144"/>
      <c r="BT51" s="144"/>
      <c r="CG51" s="146"/>
      <c r="CH51" s="128"/>
      <c r="CI51" s="128"/>
      <c r="CJ51" s="128"/>
      <c r="CK51" s="143"/>
      <c r="CZ51" s="50"/>
      <c r="DA51" s="29"/>
      <c r="DB51" s="29" t="str">
        <f>"8. "&amp;BI29</f>
        <v>8. Остале обуставе</v>
      </c>
      <c r="DC51" s="29"/>
      <c r="DD51" s="72">
        <f>BI47</f>
        <v>0</v>
      </c>
      <c r="DE51" s="72"/>
      <c r="DF51" s="73">
        <f t="shared" si="144"/>
        <v>0</v>
      </c>
      <c r="DG51"/>
      <c r="DH51" s="35"/>
      <c r="DI51" s="36"/>
      <c r="DJ51" s="21" t="s">
        <v>97</v>
      </c>
      <c r="DK51" s="67"/>
      <c r="DL51" s="21"/>
      <c r="DM51" s="41">
        <f>AV21</f>
        <v>0</v>
      </c>
      <c r="DN51" s="20" t="s">
        <v>36</v>
      </c>
      <c r="DO51" s="59" t="str">
        <f>IF(DP51&gt;0," - Алиментација:"," ")</f>
        <v xml:space="preserve"> </v>
      </c>
      <c r="DP51" s="41">
        <f>BH21</f>
        <v>0</v>
      </c>
      <c r="DQ51" s="20"/>
      <c r="DR51" s="25"/>
      <c r="FV51" s="128"/>
      <c r="FW51" s="129"/>
      <c r="FX51" s="128"/>
      <c r="FY51" s="128"/>
      <c r="GA51" s="93">
        <f>BF20</f>
        <v>0</v>
      </c>
      <c r="GB51" s="68" t="s">
        <v>267</v>
      </c>
    </row>
    <row r="52" spans="1:184" ht="18">
      <c r="A52" s="258"/>
      <c r="B52" s="144"/>
      <c r="C52" s="258"/>
      <c r="D52"/>
      <c r="E52" s="261"/>
      <c r="F52"/>
      <c r="G52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4"/>
      <c r="AB52" s="144"/>
      <c r="AC52" s="144"/>
      <c r="AD52" s="144"/>
      <c r="AE52" s="144"/>
      <c r="AF52" s="144"/>
      <c r="AG52" s="144"/>
      <c r="AH52" s="144"/>
      <c r="AI52" s="144"/>
      <c r="AJ52" s="144"/>
      <c r="AK52" s="144"/>
      <c r="AL52" s="144"/>
      <c r="AM52" s="144"/>
      <c r="AN52" s="144"/>
      <c r="AO52" s="144"/>
      <c r="AP52" s="144"/>
      <c r="AQ52" s="144"/>
      <c r="AR52" s="144"/>
      <c r="AS52" s="144"/>
      <c r="AT52" s="144"/>
      <c r="AU52" s="144"/>
      <c r="AV52" s="144"/>
      <c r="AW52" s="144"/>
      <c r="AX52" s="144"/>
      <c r="AY52" s="144"/>
      <c r="AZ52" s="144"/>
      <c r="BA52" s="144"/>
      <c r="BB52" s="144"/>
      <c r="BC52" s="144"/>
      <c r="BD52" s="144"/>
      <c r="BE52" s="144"/>
      <c r="BF52" s="144"/>
      <c r="BG52" s="144"/>
      <c r="BH52" s="144"/>
      <c r="BI52" s="144"/>
      <c r="BJ52" s="144"/>
      <c r="BK52" s="144"/>
      <c r="BL52" s="144"/>
      <c r="BM52" s="144"/>
      <c r="BN52" s="144"/>
      <c r="BO52" s="144"/>
      <c r="BP52" s="144"/>
      <c r="BQ52" s="144"/>
      <c r="BR52" s="144"/>
      <c r="BS52" s="144"/>
      <c r="BT52" s="144"/>
      <c r="CG52" s="146"/>
      <c r="CH52" s="128"/>
      <c r="CI52" s="128"/>
      <c r="CJ52" s="128"/>
      <c r="CK52" s="143"/>
      <c r="CZ52" s="50"/>
      <c r="DA52" s="29"/>
      <c r="DB52" s="29"/>
      <c r="DC52" s="29"/>
      <c r="DD52" s="90" t="s">
        <v>93</v>
      </c>
      <c r="DE52" s="90" t="s">
        <v>93</v>
      </c>
      <c r="DF52" s="91" t="s">
        <v>93</v>
      </c>
      <c r="DG52"/>
      <c r="DH52" s="35"/>
      <c r="DI52" s="36"/>
      <c r="DJ52" s="40" t="str">
        <f>IF(DM52&gt;0," - Минули рад :"," ")</f>
        <v xml:space="preserve"> </v>
      </c>
      <c r="DK52" s="59"/>
      <c r="DL52" s="21"/>
      <c r="DM52" s="41">
        <f>AO21</f>
        <v>0</v>
      </c>
      <c r="DN52" s="20" t="s">
        <v>36</v>
      </c>
      <c r="DO52" s="59" t="str">
        <f>IF(DP52&gt;0," - Остале обуставе :"," ")</f>
        <v xml:space="preserve"> </v>
      </c>
      <c r="DP52" s="41">
        <f>BI21</f>
        <v>0</v>
      </c>
      <c r="DQ52" s="20"/>
      <c r="DR52" s="25"/>
      <c r="FV52" s="128"/>
      <c r="FW52" s="129"/>
      <c r="FX52" s="128"/>
      <c r="FY52" s="128"/>
      <c r="GA52" s="93">
        <f>BG20</f>
        <v>0</v>
      </c>
      <c r="GB52" s="68" t="s">
        <v>161</v>
      </c>
    </row>
    <row r="53" spans="1:184" ht="18">
      <c r="A53" s="258"/>
      <c r="B53" s="144"/>
      <c r="C53" s="258"/>
      <c r="D53"/>
      <c r="E53" s="261"/>
      <c r="F53"/>
      <c r="G53"/>
      <c r="H53" s="144"/>
      <c r="I53" s="144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4"/>
      <c r="AB53" s="144"/>
      <c r="AC53" s="144"/>
      <c r="AD53" s="144"/>
      <c r="AE53" s="144"/>
      <c r="AF53" s="144"/>
      <c r="AG53" s="144"/>
      <c r="AH53" s="144"/>
      <c r="AI53" s="144"/>
      <c r="AJ53" s="144"/>
      <c r="AK53" s="144"/>
      <c r="AL53" s="144"/>
      <c r="AM53" s="144"/>
      <c r="AN53" s="144"/>
      <c r="AO53" s="144"/>
      <c r="AP53" s="144"/>
      <c r="AQ53" s="144"/>
      <c r="AR53" s="144"/>
      <c r="AS53" s="144"/>
      <c r="AT53" s="144"/>
      <c r="AU53" s="144"/>
      <c r="AV53" s="144"/>
      <c r="AW53" s="144"/>
      <c r="AX53" s="144"/>
      <c r="AY53" s="144"/>
      <c r="AZ53" s="144"/>
      <c r="BA53" s="144"/>
      <c r="BB53" s="144"/>
      <c r="BC53" s="144"/>
      <c r="BD53" s="144"/>
      <c r="BE53" s="144"/>
      <c r="BF53" s="144"/>
      <c r="BG53" s="144"/>
      <c r="BH53" s="144"/>
      <c r="BI53" s="144"/>
      <c r="BJ53" s="144"/>
      <c r="BK53" s="144"/>
      <c r="BL53" s="144"/>
      <c r="BM53" s="144"/>
      <c r="BN53" s="144"/>
      <c r="BO53" s="144"/>
      <c r="BP53" s="144"/>
      <c r="BQ53" s="144"/>
      <c r="BR53" s="144"/>
      <c r="BS53" s="144"/>
      <c r="BT53" s="144"/>
      <c r="CG53" s="146"/>
      <c r="CH53" s="128"/>
      <c r="CI53" s="128"/>
      <c r="CJ53" s="128"/>
      <c r="CK53" s="143"/>
      <c r="CZ53" s="50"/>
      <c r="DA53" s="29"/>
      <c r="DB53" s="29"/>
      <c r="DC53" s="29" t="s">
        <v>268</v>
      </c>
      <c r="DD53" s="72">
        <f>SUM(DD44:DD51)</f>
        <v>0</v>
      </c>
      <c r="DE53" s="72"/>
      <c r="DF53" s="73">
        <f t="shared" ref="DF53" si="147">SUM(DF44:DF51)</f>
        <v>0</v>
      </c>
      <c r="DG53"/>
      <c r="DH53" s="35"/>
      <c r="DI53" s="36"/>
      <c r="DJ53" s="40" t="str">
        <f>IF(DM53&gt;0," - Функционални додатак :"," ")</f>
        <v xml:space="preserve"> </v>
      </c>
      <c r="DK53" s="59"/>
      <c r="DL53" s="21"/>
      <c r="DM53" s="41">
        <f>AQ21</f>
        <v>0</v>
      </c>
      <c r="DN53" s="20" t="s">
        <v>36</v>
      </c>
      <c r="DO53" s="21"/>
      <c r="DP53" s="22"/>
      <c r="DQ53" s="21"/>
      <c r="DR53" s="25"/>
      <c r="FV53" s="128"/>
      <c r="FW53" s="129"/>
      <c r="FX53" s="128"/>
      <c r="FY53" s="128"/>
      <c r="GA53" s="93">
        <f>BH20</f>
        <v>0</v>
      </c>
      <c r="GB53" s="68" t="s">
        <v>269</v>
      </c>
    </row>
    <row r="54" spans="1:184" ht="18.75" thickBot="1">
      <c r="A54" s="258"/>
      <c r="B54" s="144"/>
      <c r="C54" s="258"/>
      <c r="D54"/>
      <c r="E54" s="261"/>
      <c r="F54"/>
      <c r="G54"/>
      <c r="H54" s="144"/>
      <c r="I54" s="144"/>
      <c r="J54" s="144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4"/>
      <c r="AB54" s="144"/>
      <c r="AC54" s="144"/>
      <c r="AD54" s="144"/>
      <c r="AE54" s="144"/>
      <c r="AF54" s="144"/>
      <c r="AG54" s="144"/>
      <c r="AH54" s="144"/>
      <c r="AI54" s="144"/>
      <c r="AJ54" s="144"/>
      <c r="AK54" s="144"/>
      <c r="AL54" s="144"/>
      <c r="AM54" s="144"/>
      <c r="AN54" s="144"/>
      <c r="AO54" s="144"/>
      <c r="AP54" s="144"/>
      <c r="AQ54" s="144"/>
      <c r="AR54" s="144"/>
      <c r="AS54" s="144"/>
      <c r="AT54" s="144"/>
      <c r="AU54" s="144"/>
      <c r="AV54" s="144"/>
      <c r="AW54" s="144"/>
      <c r="AX54" s="144"/>
      <c r="AY54" s="144"/>
      <c r="AZ54" s="144"/>
      <c r="BA54" s="144"/>
      <c r="BB54" s="144"/>
      <c r="BC54" s="144"/>
      <c r="BD54" s="144"/>
      <c r="BE54" s="144"/>
      <c r="BF54" s="144"/>
      <c r="BG54" s="144"/>
      <c r="BH54" s="144"/>
      <c r="BI54" s="144"/>
      <c r="BJ54" s="144"/>
      <c r="BK54" s="144"/>
      <c r="BL54" s="144"/>
      <c r="BM54" s="144"/>
      <c r="BN54" s="144"/>
      <c r="BO54" s="144"/>
      <c r="BP54" s="144"/>
      <c r="BQ54" s="144"/>
      <c r="BR54" s="144"/>
      <c r="BS54" s="144"/>
      <c r="BT54" s="144"/>
      <c r="CG54" s="146"/>
      <c r="CH54" s="128"/>
      <c r="CI54" s="128"/>
      <c r="CJ54" s="128"/>
      <c r="CK54" s="143"/>
      <c r="CZ54" s="50"/>
      <c r="DA54" s="29"/>
      <c r="DB54" s="29"/>
      <c r="DC54" s="29"/>
      <c r="DD54" s="29"/>
      <c r="DE54" s="29"/>
      <c r="DF54" s="39"/>
      <c r="DG54"/>
      <c r="DH54" s="35"/>
      <c r="DI54" s="36"/>
      <c r="DJ54" s="40" t="str">
        <f>IF(DM54&gt;0," - Топли оброк :"," ")</f>
        <v xml:space="preserve"> </v>
      </c>
      <c r="DK54" s="28"/>
      <c r="DL54" s="28"/>
      <c r="DM54" s="41">
        <f>AR21</f>
        <v>0</v>
      </c>
      <c r="DN54" s="20" t="s">
        <v>36</v>
      </c>
      <c r="DO54" s="21"/>
      <c r="DP54" s="21"/>
      <c r="DQ54" s="21"/>
      <c r="DR54" s="25"/>
      <c r="FV54" s="128"/>
      <c r="FW54" s="129"/>
      <c r="FX54" s="128"/>
      <c r="FY54" s="128"/>
      <c r="GA54" s="93">
        <f>BI20</f>
        <v>0</v>
      </c>
      <c r="GB54" s="68" t="s">
        <v>163</v>
      </c>
    </row>
    <row r="55" spans="1:184" ht="18.75" thickBot="1">
      <c r="A55" s="258"/>
      <c r="B55" s="144"/>
      <c r="C55" s="258"/>
      <c r="D55"/>
      <c r="E55" s="261"/>
      <c r="F55"/>
      <c r="G55"/>
      <c r="H55" s="144"/>
      <c r="I55" s="144"/>
      <c r="J55" s="144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4"/>
      <c r="AB55" s="144"/>
      <c r="AC55" s="144"/>
      <c r="AD55" s="144"/>
      <c r="AE55" s="144"/>
      <c r="AF55" s="144"/>
      <c r="AG55" s="144"/>
      <c r="AH55" s="144"/>
      <c r="AI55" s="144"/>
      <c r="AJ55" s="144"/>
      <c r="AK55" s="144"/>
      <c r="AL55" s="144"/>
      <c r="AM55" s="144"/>
      <c r="AN55" s="144"/>
      <c r="AO55" s="144"/>
      <c r="AP55" s="144"/>
      <c r="AQ55" s="144"/>
      <c r="AR55" s="144"/>
      <c r="AS55" s="144"/>
      <c r="AT55" s="144"/>
      <c r="AU55" s="144"/>
      <c r="AV55" s="144"/>
      <c r="AW55" s="144"/>
      <c r="AX55" s="144"/>
      <c r="AY55" s="207" t="s">
        <v>274</v>
      </c>
      <c r="AZ55" s="207" t="s">
        <v>275</v>
      </c>
      <c r="BA55" s="207" t="s">
        <v>276</v>
      </c>
      <c r="BB55" s="207" t="s">
        <v>277</v>
      </c>
      <c r="BC55" s="144"/>
      <c r="BD55" s="144"/>
      <c r="BE55" s="144"/>
      <c r="BF55" s="144"/>
      <c r="BG55" s="144"/>
      <c r="BH55" s="144"/>
      <c r="BI55" s="144"/>
      <c r="BJ55" s="144"/>
      <c r="BK55" s="144"/>
      <c r="BL55" s="144"/>
      <c r="BM55" s="144"/>
      <c r="BN55" s="144"/>
      <c r="BO55" s="144"/>
      <c r="BP55" s="144"/>
      <c r="BQ55" s="144"/>
      <c r="BR55" s="144"/>
      <c r="BS55" s="144"/>
      <c r="BT55" s="144"/>
      <c r="CG55" s="146"/>
      <c r="CH55" s="128"/>
      <c r="CI55" s="128"/>
      <c r="CJ55" s="128"/>
      <c r="CK55" s="143"/>
      <c r="CZ55" s="50" t="s">
        <v>270</v>
      </c>
      <c r="DA55" s="29"/>
      <c r="DB55" s="29"/>
      <c r="DC55" s="29"/>
      <c r="DD55" s="29"/>
      <c r="DE55" s="134" t="s">
        <v>271</v>
      </c>
      <c r="DF55" s="39"/>
      <c r="DG55"/>
      <c r="DH55" s="35"/>
      <c r="DI55" s="36"/>
      <c r="DJ55" s="40" t="str">
        <f>IF(DM55&gt;0," - Регрес:"," ")</f>
        <v xml:space="preserve"> </v>
      </c>
      <c r="DK55" s="21"/>
      <c r="DL55" s="21"/>
      <c r="DM55" s="41">
        <f>AS21</f>
        <v>0</v>
      </c>
      <c r="DN55" s="20" t="s">
        <v>36</v>
      </c>
      <c r="DO55" s="21"/>
      <c r="DP55" s="21"/>
      <c r="DQ55" s="21"/>
      <c r="DR55" s="25"/>
      <c r="FV55" s="128"/>
      <c r="FW55" s="129"/>
      <c r="FX55" s="128"/>
      <c r="FY55" s="128"/>
      <c r="GA55" s="93">
        <f>BK20</f>
        <v>0</v>
      </c>
      <c r="GB55" s="68" t="s">
        <v>272</v>
      </c>
    </row>
    <row r="56" spans="1:184" ht="18.75" thickBot="1">
      <c r="A56" s="258"/>
      <c r="B56" s="144"/>
      <c r="C56" s="258"/>
      <c r="D56" s="144"/>
      <c r="E56" s="258"/>
      <c r="F56" s="144"/>
      <c r="G56" s="144"/>
      <c r="H56" s="144"/>
      <c r="I56" s="144"/>
      <c r="J56" s="144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4"/>
      <c r="AB56" s="144"/>
      <c r="AC56" s="144"/>
      <c r="AD56" s="144"/>
      <c r="AE56" s="144"/>
      <c r="AF56" s="144"/>
      <c r="AG56" s="144"/>
      <c r="AH56" s="144"/>
      <c r="AI56" s="144"/>
      <c r="AJ56" s="144"/>
      <c r="AK56" s="144"/>
      <c r="AL56" s="144"/>
      <c r="AM56" s="144"/>
      <c r="AN56" s="144"/>
      <c r="AO56" s="144"/>
      <c r="AP56" s="144"/>
      <c r="AQ56" s="144"/>
      <c r="AR56" s="144"/>
      <c r="AS56" s="144"/>
      <c r="AT56" s="144"/>
      <c r="AU56" s="144"/>
      <c r="AV56" s="144"/>
      <c r="AW56" s="144"/>
      <c r="AX56" s="144"/>
      <c r="AY56" s="144">
        <v>1000</v>
      </c>
      <c r="AZ56" s="145">
        <f>BB56*SUM(G7:G9)/100</f>
        <v>1.9959679441530178</v>
      </c>
      <c r="BA56" s="145">
        <f>BB56*G15/100</f>
        <v>1.0029989669110642</v>
      </c>
      <c r="BB56" s="145">
        <f>AY56/(1-SUM(G7:G9)/100-G15/100)</f>
        <v>1002.9989669110641</v>
      </c>
      <c r="BC56" s="144"/>
      <c r="BD56" s="144"/>
      <c r="BE56" s="144"/>
      <c r="BF56" s="144"/>
      <c r="BG56" s="144"/>
      <c r="BH56" s="144"/>
      <c r="BI56" s="144"/>
      <c r="BJ56" s="144"/>
      <c r="BK56" s="144"/>
      <c r="BL56" s="144"/>
      <c r="BM56" s="144"/>
      <c r="BN56" s="144"/>
      <c r="BO56" s="144"/>
      <c r="BP56" s="144"/>
      <c r="BQ56" s="144"/>
      <c r="BR56" s="144"/>
      <c r="BS56" s="144"/>
      <c r="BT56" s="144"/>
      <c r="CG56" s="146"/>
      <c r="CH56" s="128"/>
      <c r="CI56" s="128"/>
      <c r="CJ56" s="128"/>
      <c r="CK56" s="143"/>
      <c r="CZ56" s="50"/>
      <c r="DA56" s="29"/>
      <c r="DB56" s="29"/>
      <c r="DC56" s="29"/>
      <c r="DD56" s="29"/>
      <c r="DE56" s="29"/>
      <c r="DF56" s="39"/>
      <c r="DG56"/>
      <c r="DH56" s="35"/>
      <c r="DI56" s="36"/>
      <c r="DJ56" s="40" t="str">
        <f>IF(DM56&gt;0," - Теренски додатак :"," ")</f>
        <v xml:space="preserve"> </v>
      </c>
      <c r="DK56" s="21"/>
      <c r="DL56" s="21"/>
      <c r="DM56" s="41">
        <f>AT21</f>
        <v>0</v>
      </c>
      <c r="DN56" s="20" t="s">
        <v>36</v>
      </c>
      <c r="DO56" s="98" t="s">
        <v>104</v>
      </c>
      <c r="DP56" s="41">
        <f>BK21</f>
        <v>0</v>
      </c>
      <c r="DQ56" s="20"/>
      <c r="DR56" s="25"/>
      <c r="FV56" s="128"/>
      <c r="FW56" s="129"/>
      <c r="FX56" s="128"/>
      <c r="FY56" s="128"/>
      <c r="GA56" s="93"/>
      <c r="GB56" s="135" t="s">
        <v>273</v>
      </c>
    </row>
    <row r="57" spans="1:184">
      <c r="CZ57" s="136" t="s">
        <v>113</v>
      </c>
      <c r="DA57" s="29"/>
      <c r="DB57" s="29"/>
      <c r="DC57" s="29"/>
      <c r="DD57" s="29"/>
      <c r="DE57" s="126" t="s">
        <v>113</v>
      </c>
      <c r="DF57" s="39"/>
      <c r="DG57"/>
      <c r="DH57" s="35"/>
      <c r="DI57" s="36"/>
      <c r="DJ57" s="40" t="str">
        <f>IF(DM57&gt;0," - Остало:"," ")</f>
        <v xml:space="preserve"> </v>
      </c>
      <c r="DK57" s="21"/>
      <c r="DL57" s="21"/>
      <c r="DM57" s="41">
        <f>AU21</f>
        <v>0</v>
      </c>
      <c r="DN57" s="20" t="s">
        <v>36</v>
      </c>
      <c r="DO57" s="98" t="str">
        <f>IF(DP57&gt;0,"9. Исплаћена аконтација :"," ")</f>
        <v xml:space="preserve"> </v>
      </c>
      <c r="DP57" s="67">
        <f>BL21</f>
        <v>0</v>
      </c>
      <c r="DQ57" s="21"/>
      <c r="DR57" s="25"/>
      <c r="FV57" s="128"/>
      <c r="FW57" s="129"/>
      <c r="FX57" s="128"/>
      <c r="FY57" s="128"/>
    </row>
    <row r="58" spans="1:184" ht="16.5" thickBot="1">
      <c r="CZ58" s="137"/>
      <c r="DA58" s="138"/>
      <c r="DB58" s="138"/>
      <c r="DC58" s="138"/>
      <c r="DD58" s="138"/>
      <c r="DE58" s="138"/>
      <c r="DF58" s="139"/>
      <c r="DG58"/>
      <c r="DH58" s="35"/>
      <c r="DI58" s="36"/>
      <c r="DJ58" s="104" t="s">
        <v>111</v>
      </c>
      <c r="DK58" s="28"/>
      <c r="DL58" s="28"/>
      <c r="DM58" s="105"/>
      <c r="DN58" s="21" t="s">
        <v>36</v>
      </c>
      <c r="DO58" s="40"/>
      <c r="DP58" s="106" t="s">
        <v>93</v>
      </c>
      <c r="DQ58" s="21"/>
      <c r="DR58" s="25"/>
      <c r="FV58" s="128"/>
      <c r="FW58" s="129"/>
      <c r="FX58" s="128"/>
      <c r="FY58" s="128"/>
    </row>
    <row r="59" spans="1:184">
      <c r="CZ59" s="58"/>
      <c r="DA59" s="36"/>
      <c r="DB59" s="36"/>
      <c r="DC59" s="36"/>
      <c r="DD59" s="58"/>
      <c r="DE59" s="36"/>
      <c r="DF59" s="36"/>
      <c r="DG59" s="36"/>
      <c r="DH59" s="58"/>
      <c r="DJ59" s="111" t="s">
        <v>113</v>
      </c>
      <c r="DK59" s="28"/>
      <c r="DL59" s="28"/>
      <c r="DM59" s="112"/>
      <c r="DN59" s="21" t="s">
        <v>36</v>
      </c>
      <c r="DO59" s="98" t="s">
        <v>114</v>
      </c>
      <c r="DP59" s="41">
        <f>BM21</f>
        <v>0</v>
      </c>
      <c r="DQ59" s="20"/>
      <c r="DR59" s="25"/>
      <c r="FV59" s="128"/>
      <c r="FW59" s="129"/>
      <c r="FX59" s="128"/>
      <c r="FY59" s="128"/>
    </row>
    <row r="60" spans="1:184" ht="16.5" thickBot="1">
      <c r="DJ60" s="40"/>
      <c r="DK60" s="21"/>
      <c r="DL60" s="21"/>
      <c r="DM60" s="21"/>
      <c r="DN60" s="21"/>
      <c r="DO60" s="21"/>
      <c r="DP60" s="22"/>
      <c r="DQ60" s="21"/>
      <c r="DR60" s="25"/>
      <c r="FV60" s="128"/>
      <c r="FW60" s="129"/>
      <c r="FX60" s="128"/>
      <c r="FY60" s="128"/>
    </row>
    <row r="61" spans="1:184">
      <c r="DJ61" s="110"/>
      <c r="DK61" s="140"/>
      <c r="DL61" s="140"/>
      <c r="DM61" s="140"/>
      <c r="DN61" s="140"/>
      <c r="DO61" s="110"/>
      <c r="DP61" s="140"/>
      <c r="DQ61" s="140"/>
      <c r="FV61" s="128"/>
      <c r="FW61" s="129"/>
      <c r="FX61" s="128"/>
      <c r="FY61" s="128"/>
    </row>
    <row r="62" spans="1:184">
      <c r="FV62" s="128"/>
      <c r="FW62" s="129"/>
      <c r="FX62" s="128"/>
      <c r="FY62" s="128"/>
    </row>
    <row r="63" spans="1:184">
      <c r="FV63" s="128"/>
      <c r="FW63" s="129"/>
      <c r="FX63" s="128"/>
      <c r="FY63" s="128"/>
    </row>
    <row r="64" spans="1:184">
      <c r="A64" s="258"/>
      <c r="B64" s="144"/>
      <c r="C64" s="258"/>
      <c r="D64" s="144"/>
      <c r="E64" s="258"/>
      <c r="F64" s="144"/>
      <c r="G64" s="144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4"/>
      <c r="AB64" s="144"/>
      <c r="AC64" s="144"/>
      <c r="AD64" s="144"/>
      <c r="AE64" s="144"/>
      <c r="AF64" s="144"/>
      <c r="AG64" s="144"/>
      <c r="AH64" s="144"/>
      <c r="AI64" s="144"/>
      <c r="AJ64" s="144"/>
      <c r="AK64" s="144"/>
      <c r="AL64" s="144"/>
      <c r="AM64" s="144"/>
      <c r="AN64" s="144"/>
      <c r="AO64" s="144"/>
      <c r="AP64" s="144"/>
      <c r="AQ64" s="144"/>
      <c r="AR64" s="144"/>
      <c r="AS64" s="144"/>
      <c r="AT64" s="144"/>
      <c r="AU64" s="144"/>
      <c r="AV64" s="144"/>
      <c r="AW64" s="144"/>
      <c r="AX64" s="144"/>
      <c r="AY64" s="144"/>
      <c r="AZ64" s="144"/>
      <c r="BA64" s="144"/>
      <c r="BB64" s="144"/>
      <c r="BC64" s="144"/>
      <c r="BD64" s="144"/>
      <c r="BE64" s="144"/>
      <c r="BF64" s="144"/>
      <c r="BG64" s="144"/>
      <c r="BH64" s="144"/>
      <c r="BI64" s="144"/>
      <c r="BJ64" s="144"/>
      <c r="BK64" s="144"/>
      <c r="BL64" s="144"/>
      <c r="BM64" s="144"/>
      <c r="BN64" s="144"/>
      <c r="BO64" s="144"/>
      <c r="BP64" s="144"/>
      <c r="BQ64" s="144"/>
      <c r="BR64" s="144"/>
      <c r="BS64" s="144"/>
      <c r="BT64" s="144"/>
    </row>
    <row r="65" spans="1:72">
      <c r="A65" s="258"/>
      <c r="B65" s="144"/>
      <c r="C65" s="258"/>
      <c r="D65" s="144"/>
      <c r="E65" s="258"/>
      <c r="F65" s="144"/>
      <c r="G65" s="144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4"/>
      <c r="T65" s="144"/>
      <c r="U65" s="144"/>
      <c r="V65" s="144"/>
      <c r="W65" s="144"/>
      <c r="X65" s="144"/>
      <c r="Y65" s="144"/>
      <c r="Z65" s="144"/>
      <c r="AA65" s="144"/>
      <c r="AB65" s="144"/>
      <c r="AC65" s="144"/>
      <c r="AD65" s="144"/>
      <c r="AE65" s="144"/>
      <c r="AF65" s="144"/>
      <c r="AG65" s="144"/>
      <c r="AH65" s="144"/>
      <c r="AI65" s="144"/>
      <c r="AJ65" s="144"/>
      <c r="AK65" s="144"/>
      <c r="AL65" s="144"/>
      <c r="AM65" s="144"/>
      <c r="AN65" s="144"/>
      <c r="AO65" s="144"/>
      <c r="AP65" s="144"/>
      <c r="AQ65" s="144"/>
      <c r="AR65" s="144"/>
      <c r="AS65" s="144"/>
      <c r="AT65" s="144"/>
      <c r="AU65" s="144"/>
      <c r="AV65" s="144"/>
      <c r="AW65" s="144"/>
      <c r="AX65" s="144"/>
      <c r="AY65" s="144"/>
      <c r="AZ65" s="144"/>
      <c r="BA65" s="144"/>
      <c r="BB65" s="144"/>
      <c r="BC65" s="144"/>
      <c r="BD65" s="144"/>
      <c r="BE65" s="144"/>
      <c r="BF65" s="144"/>
      <c r="BG65" s="144"/>
      <c r="BH65" s="144"/>
      <c r="BI65" s="144"/>
      <c r="BJ65" s="144"/>
      <c r="BK65" s="144"/>
      <c r="BL65" s="144"/>
      <c r="BM65" s="144"/>
      <c r="BN65" s="144"/>
      <c r="BO65" s="144"/>
      <c r="BP65" s="144"/>
      <c r="BQ65" s="144"/>
      <c r="BR65" s="144"/>
      <c r="BS65" s="144"/>
      <c r="BT65" s="144"/>
    </row>
    <row r="66" spans="1:72">
      <c r="G66"/>
      <c r="BQ66" s="147"/>
    </row>
  </sheetData>
  <mergeCells count="5">
    <mergeCell ref="CL7:CM7"/>
    <mergeCell ref="CN7:CO7"/>
    <mergeCell ref="CP7:CQ7"/>
    <mergeCell ref="H27:I27"/>
    <mergeCell ref="F26:I2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56"/>
  <sheetViews>
    <sheetView workbookViewId="0">
      <selection activeCell="G16" sqref="G16"/>
    </sheetView>
  </sheetViews>
  <sheetFormatPr defaultColWidth="14.85546875" defaultRowHeight="12.75"/>
  <cols>
    <col min="1" max="1" width="0.85546875" style="151" customWidth="1"/>
    <col min="2" max="2" width="4.7109375" style="151" customWidth="1"/>
    <col min="3" max="3" width="11.85546875" style="151" customWidth="1"/>
    <col min="4" max="4" width="31.140625" style="151" customWidth="1"/>
    <col min="5" max="7" width="14.85546875" style="151" customWidth="1"/>
    <col min="8" max="16384" width="14.85546875" style="151"/>
  </cols>
  <sheetData>
    <row r="1" spans="1:7" ht="13.5" thickBot="1">
      <c r="A1" s="148"/>
      <c r="B1" s="149"/>
      <c r="C1" s="150" t="s">
        <v>278</v>
      </c>
    </row>
    <row r="2" spans="1:7" ht="16.5" thickBot="1">
      <c r="A2" s="149"/>
      <c r="B2" s="152" t="s">
        <v>279</v>
      </c>
      <c r="C2" s="153"/>
      <c r="D2" s="251"/>
      <c r="E2" s="154" t="s">
        <v>280</v>
      </c>
      <c r="F2" s="249"/>
      <c r="G2" s="250"/>
    </row>
    <row r="3" spans="1:7" ht="16.5" thickBot="1">
      <c r="A3" s="148"/>
      <c r="B3" s="149"/>
      <c r="C3" s="150" t="s">
        <v>281</v>
      </c>
      <c r="D3" s="251"/>
      <c r="E3" s="150" t="s">
        <v>282</v>
      </c>
      <c r="F3" s="232"/>
    </row>
    <row r="4" spans="1:7" ht="13.5" thickBot="1">
      <c r="B4" s="155"/>
      <c r="C4" s="150" t="s">
        <v>283</v>
      </c>
      <c r="D4" s="156"/>
      <c r="F4" s="157"/>
      <c r="G4" s="155"/>
    </row>
    <row r="5" spans="1:7" ht="16.5" thickBot="1">
      <c r="A5" s="148"/>
      <c r="B5" s="154" t="s">
        <v>284</v>
      </c>
      <c r="D5" s="251"/>
      <c r="E5" s="158" t="s">
        <v>268</v>
      </c>
    </row>
    <row r="6" spans="1:7">
      <c r="A6" s="148"/>
      <c r="B6" s="159" t="s">
        <v>285</v>
      </c>
      <c r="C6" s="160" t="s">
        <v>40</v>
      </c>
      <c r="D6" s="161"/>
      <c r="E6" s="162"/>
      <c r="F6" s="163"/>
      <c r="G6" s="164"/>
    </row>
    <row r="7" spans="1:7">
      <c r="B7" s="165" t="s">
        <v>286</v>
      </c>
      <c r="C7" s="166" t="s">
        <v>46</v>
      </c>
      <c r="D7" s="167"/>
      <c r="E7" s="168"/>
      <c r="F7" s="169"/>
      <c r="G7" s="164"/>
    </row>
    <row r="8" spans="1:7">
      <c r="A8" s="150"/>
      <c r="B8" s="165" t="s">
        <v>287</v>
      </c>
      <c r="C8" s="166" t="s">
        <v>51</v>
      </c>
      <c r="D8" s="167"/>
      <c r="E8" s="168"/>
      <c r="F8" s="169"/>
      <c r="G8" s="164"/>
    </row>
    <row r="9" spans="1:7">
      <c r="A9" s="150"/>
      <c r="B9" s="165" t="s">
        <v>288</v>
      </c>
      <c r="C9" s="166" t="s">
        <v>60</v>
      </c>
      <c r="D9" s="167"/>
      <c r="E9" s="168"/>
      <c r="F9" s="169"/>
      <c r="G9" s="164"/>
    </row>
    <row r="10" spans="1:7">
      <c r="A10" s="170">
        <f>E6+E7+E8+E9+E10</f>
        <v>0</v>
      </c>
      <c r="B10" s="165" t="s">
        <v>289</v>
      </c>
      <c r="C10" s="166" t="s">
        <v>72</v>
      </c>
      <c r="D10" s="167"/>
      <c r="E10" s="168"/>
      <c r="F10" s="169"/>
      <c r="G10" s="164"/>
    </row>
    <row r="11" spans="1:7">
      <c r="A11" s="170">
        <f>E11+E12</f>
        <v>0</v>
      </c>
      <c r="B11" s="165" t="s">
        <v>290</v>
      </c>
      <c r="C11" s="166" t="s">
        <v>75</v>
      </c>
      <c r="D11" s="167"/>
      <c r="E11" s="168"/>
      <c r="F11" s="169"/>
      <c r="G11" s="164"/>
    </row>
    <row r="12" spans="1:7">
      <c r="A12" s="150"/>
      <c r="B12" s="165" t="s">
        <v>291</v>
      </c>
      <c r="C12" s="166" t="s">
        <v>77</v>
      </c>
      <c r="D12" s="167"/>
      <c r="E12" s="168"/>
      <c r="F12" s="169"/>
      <c r="G12" s="164"/>
    </row>
    <row r="13" spans="1:7">
      <c r="A13" s="150"/>
      <c r="B13" s="165" t="s">
        <v>292</v>
      </c>
      <c r="C13" s="166" t="s">
        <v>81</v>
      </c>
      <c r="D13" s="167"/>
      <c r="E13" s="168"/>
      <c r="F13" s="169"/>
      <c r="G13" s="164"/>
    </row>
    <row r="14" spans="1:7">
      <c r="A14" s="150"/>
      <c r="B14" s="165" t="s">
        <v>293</v>
      </c>
      <c r="C14" s="166" t="s">
        <v>85</v>
      </c>
      <c r="D14" s="167"/>
      <c r="E14" s="168"/>
      <c r="F14" s="169"/>
      <c r="G14" s="164"/>
    </row>
    <row r="15" spans="1:7">
      <c r="A15" s="150"/>
      <c r="B15" s="165" t="s">
        <v>294</v>
      </c>
      <c r="C15" s="166" t="s">
        <v>89</v>
      </c>
      <c r="D15" s="171"/>
      <c r="E15" s="168"/>
      <c r="F15" s="169"/>
      <c r="G15" s="164"/>
    </row>
    <row r="16" spans="1:7">
      <c r="A16" s="150"/>
      <c r="B16" s="165" t="s">
        <v>295</v>
      </c>
      <c r="C16" s="166" t="s">
        <v>91</v>
      </c>
      <c r="D16" s="171"/>
      <c r="E16" s="168"/>
      <c r="F16" s="169"/>
      <c r="G16" s="164"/>
    </row>
    <row r="17" spans="1:7">
      <c r="A17" s="150"/>
      <c r="B17" s="165" t="s">
        <v>296</v>
      </c>
      <c r="C17" s="166" t="s">
        <v>92</v>
      </c>
      <c r="D17" s="167"/>
      <c r="E17" s="168"/>
      <c r="F17" s="169"/>
      <c r="G17" s="164"/>
    </row>
    <row r="18" spans="1:7">
      <c r="A18" s="150"/>
      <c r="B18" s="172" t="s">
        <v>297</v>
      </c>
      <c r="C18" s="166" t="s">
        <v>94</v>
      </c>
      <c r="D18" s="167"/>
      <c r="E18" s="168"/>
      <c r="F18" s="169"/>
      <c r="G18" s="164"/>
    </row>
    <row r="19" spans="1:7">
      <c r="A19" s="150"/>
      <c r="B19" s="165" t="s">
        <v>298</v>
      </c>
      <c r="C19" s="166" t="s">
        <v>96</v>
      </c>
      <c r="D19" s="167"/>
      <c r="E19" s="168"/>
      <c r="F19" s="169"/>
      <c r="G19" s="164"/>
    </row>
    <row r="20" spans="1:7">
      <c r="A20" s="150"/>
      <c r="B20" s="165" t="s">
        <v>299</v>
      </c>
      <c r="C20" s="166" t="s">
        <v>98</v>
      </c>
      <c r="D20" s="167"/>
      <c r="E20" s="168"/>
      <c r="F20" s="169"/>
      <c r="G20" s="164"/>
    </row>
    <row r="21" spans="1:7">
      <c r="A21" s="150"/>
      <c r="B21" s="172" t="s">
        <v>63</v>
      </c>
      <c r="C21" s="166" t="s">
        <v>100</v>
      </c>
      <c r="D21" s="167"/>
      <c r="E21" s="173"/>
      <c r="F21" s="169"/>
      <c r="G21" s="164"/>
    </row>
    <row r="22" spans="1:7">
      <c r="A22" s="150"/>
      <c r="B22" s="172" t="s">
        <v>300</v>
      </c>
      <c r="C22" s="166" t="s">
        <v>101</v>
      </c>
      <c r="D22" s="167"/>
      <c r="E22" s="173"/>
      <c r="F22" s="169"/>
      <c r="G22" s="164"/>
    </row>
    <row r="23" spans="1:7">
      <c r="A23" s="150"/>
      <c r="B23" s="172" t="s">
        <v>301</v>
      </c>
      <c r="C23" s="166" t="s">
        <v>102</v>
      </c>
      <c r="D23" s="167"/>
      <c r="E23" s="173"/>
      <c r="F23" s="169"/>
      <c r="G23" s="164"/>
    </row>
    <row r="24" spans="1:7">
      <c r="A24" s="150"/>
      <c r="B24" s="165" t="s">
        <v>64</v>
      </c>
      <c r="C24" s="166" t="s">
        <v>103</v>
      </c>
      <c r="D24" s="167"/>
      <c r="E24" s="173"/>
      <c r="F24" s="169"/>
      <c r="G24" s="164"/>
    </row>
    <row r="25" spans="1:7">
      <c r="A25" s="150"/>
      <c r="B25" s="165" t="s">
        <v>302</v>
      </c>
      <c r="C25" s="166" t="s">
        <v>105</v>
      </c>
      <c r="D25" s="167"/>
      <c r="E25" s="173"/>
      <c r="F25" s="169"/>
      <c r="G25" s="164"/>
    </row>
    <row r="26" spans="1:7">
      <c r="A26" s="150"/>
      <c r="B26" s="165" t="s">
        <v>303</v>
      </c>
      <c r="C26" s="166" t="s">
        <v>109</v>
      </c>
      <c r="D26" s="167"/>
      <c r="E26" s="173"/>
      <c r="F26" s="169"/>
      <c r="G26" s="164"/>
    </row>
    <row r="27" spans="1:7">
      <c r="A27" s="150"/>
      <c r="B27" s="165" t="s">
        <v>304</v>
      </c>
      <c r="C27" s="166" t="s">
        <v>112</v>
      </c>
      <c r="D27" s="167"/>
      <c r="E27" s="173"/>
      <c r="F27" s="169"/>
      <c r="G27" s="164"/>
    </row>
    <row r="28" spans="1:7">
      <c r="A28" s="150"/>
      <c r="B28" s="165" t="s">
        <v>305</v>
      </c>
      <c r="C28" s="166" t="s">
        <v>115</v>
      </c>
      <c r="D28" s="167"/>
      <c r="E28" s="173"/>
      <c r="F28" s="169"/>
      <c r="G28" s="164"/>
    </row>
    <row r="29" spans="1:7">
      <c r="A29" s="150"/>
      <c r="B29" s="165" t="s">
        <v>65</v>
      </c>
      <c r="C29" s="166" t="s">
        <v>174</v>
      </c>
      <c r="D29" s="167"/>
      <c r="E29" s="173"/>
      <c r="F29" s="169"/>
      <c r="G29" s="164"/>
    </row>
    <row r="30" spans="1:7">
      <c r="A30" s="170">
        <f>IF(E11&gt;0,E30/E11,0)</f>
        <v>0</v>
      </c>
      <c r="B30" s="165" t="s">
        <v>306</v>
      </c>
      <c r="C30" s="166" t="s">
        <v>175</v>
      </c>
      <c r="D30" s="167"/>
      <c r="E30" s="173"/>
      <c r="F30" s="174"/>
      <c r="G30" s="164"/>
    </row>
    <row r="31" spans="1:7">
      <c r="A31" s="150"/>
      <c r="B31" s="169" t="s">
        <v>307</v>
      </c>
      <c r="C31" s="166" t="s">
        <v>244</v>
      </c>
      <c r="D31" s="171"/>
      <c r="E31" s="173"/>
      <c r="F31" s="174"/>
      <c r="G31" s="164"/>
    </row>
    <row r="32" spans="1:7">
      <c r="A32" s="150"/>
      <c r="B32" s="165" t="s">
        <v>308</v>
      </c>
      <c r="C32" s="166" t="s">
        <v>247</v>
      </c>
      <c r="D32" s="167"/>
      <c r="E32" s="173"/>
      <c r="F32" s="174"/>
      <c r="G32" s="164"/>
    </row>
    <row r="33" spans="1:7">
      <c r="A33" s="170">
        <f>E33-E30</f>
        <v>0</v>
      </c>
      <c r="B33" s="165" t="s">
        <v>309</v>
      </c>
      <c r="C33" s="166" t="s">
        <v>249</v>
      </c>
      <c r="D33" s="167"/>
      <c r="E33" s="173"/>
      <c r="F33" s="174"/>
      <c r="G33" s="164"/>
    </row>
    <row r="34" spans="1:7">
      <c r="A34" s="150"/>
      <c r="B34" s="165" t="s">
        <v>310</v>
      </c>
      <c r="C34" s="166" t="s">
        <v>251</v>
      </c>
      <c r="D34" s="167"/>
      <c r="E34" s="173"/>
      <c r="F34" s="174"/>
      <c r="G34" s="164"/>
    </row>
    <row r="35" spans="1:7">
      <c r="A35" s="150"/>
      <c r="B35" s="165" t="s">
        <v>311</v>
      </c>
      <c r="C35" s="166" t="s">
        <v>252</v>
      </c>
      <c r="D35" s="167"/>
      <c r="E35" s="173"/>
      <c r="F35" s="174"/>
      <c r="G35" s="164"/>
    </row>
    <row r="36" spans="1:7">
      <c r="A36" s="150"/>
      <c r="B36" s="165" t="s">
        <v>312</v>
      </c>
      <c r="C36" s="166" t="s">
        <v>148</v>
      </c>
      <c r="D36" s="167"/>
      <c r="E36" s="173"/>
      <c r="F36" s="174"/>
      <c r="G36" s="164"/>
    </row>
    <row r="37" spans="1:7">
      <c r="A37" s="150"/>
      <c r="B37" s="165" t="s">
        <v>313</v>
      </c>
      <c r="C37" s="166" t="s">
        <v>149</v>
      </c>
      <c r="D37" s="167"/>
      <c r="E37" s="173"/>
      <c r="F37" s="174"/>
      <c r="G37" s="164"/>
    </row>
    <row r="38" spans="1:7">
      <c r="A38" s="150"/>
      <c r="B38" s="165" t="s">
        <v>314</v>
      </c>
      <c r="C38" s="166" t="s">
        <v>134</v>
      </c>
      <c r="D38" s="171"/>
      <c r="E38" s="173"/>
      <c r="F38" s="174"/>
      <c r="G38" s="164"/>
    </row>
    <row r="39" spans="1:7">
      <c r="A39" s="150"/>
      <c r="B39" s="165" t="s">
        <v>315</v>
      </c>
      <c r="C39" s="166" t="s">
        <v>91</v>
      </c>
      <c r="D39" s="167"/>
      <c r="E39" s="173"/>
      <c r="F39" s="174"/>
      <c r="G39" s="164"/>
    </row>
    <row r="40" spans="1:7">
      <c r="A40" s="150"/>
      <c r="B40" s="165" t="s">
        <v>66</v>
      </c>
      <c r="C40" s="166" t="s">
        <v>258</v>
      </c>
      <c r="D40" s="171"/>
      <c r="E40" s="173"/>
      <c r="F40" s="174"/>
      <c r="G40" s="164"/>
    </row>
    <row r="41" spans="1:7">
      <c r="A41" s="150"/>
      <c r="B41" s="165" t="s">
        <v>316</v>
      </c>
      <c r="C41" s="166" t="s">
        <v>259</v>
      </c>
      <c r="D41" s="171"/>
      <c r="E41" s="173"/>
      <c r="F41" s="174"/>
      <c r="G41" s="164"/>
    </row>
    <row r="42" spans="1:7">
      <c r="A42" s="150"/>
      <c r="B42" s="165" t="s">
        <v>317</v>
      </c>
      <c r="C42" s="166" t="s">
        <v>260</v>
      </c>
      <c r="D42" s="167"/>
      <c r="E42" s="173"/>
      <c r="F42" s="174"/>
      <c r="G42" s="164"/>
    </row>
    <row r="43" spans="1:7">
      <c r="A43" s="150"/>
      <c r="B43" s="165" t="s">
        <v>318</v>
      </c>
      <c r="C43" s="166" t="s">
        <v>152</v>
      </c>
      <c r="D43" s="171"/>
      <c r="E43" s="173"/>
      <c r="F43" s="174"/>
      <c r="G43" s="164"/>
    </row>
    <row r="44" spans="1:7">
      <c r="A44" s="150"/>
      <c r="B44" s="165" t="s">
        <v>319</v>
      </c>
      <c r="C44" s="166" t="s">
        <v>153</v>
      </c>
      <c r="D44" s="167"/>
      <c r="E44" s="173"/>
      <c r="F44" s="174"/>
      <c r="G44" s="164"/>
    </row>
    <row r="45" spans="1:7">
      <c r="A45" s="150"/>
      <c r="B45" s="165" t="s">
        <v>320</v>
      </c>
      <c r="C45" s="166" t="s">
        <v>263</v>
      </c>
      <c r="D45" s="167"/>
      <c r="E45" s="173"/>
      <c r="F45" s="174"/>
      <c r="G45" s="164"/>
    </row>
    <row r="46" spans="1:7">
      <c r="A46" s="150"/>
      <c r="B46" s="165" t="s">
        <v>67</v>
      </c>
      <c r="C46" s="166" t="s">
        <v>264</v>
      </c>
      <c r="D46" s="167"/>
      <c r="E46" s="173"/>
      <c r="F46" s="174"/>
      <c r="G46" s="164"/>
    </row>
    <row r="47" spans="1:7">
      <c r="A47" s="150"/>
      <c r="B47" s="165" t="s">
        <v>68</v>
      </c>
      <c r="C47" s="166" t="s">
        <v>265</v>
      </c>
      <c r="D47" s="167"/>
      <c r="E47" s="173"/>
      <c r="F47" s="174"/>
      <c r="G47" s="164"/>
    </row>
    <row r="48" spans="1:7">
      <c r="A48" s="150"/>
      <c r="B48" s="165" t="s">
        <v>185</v>
      </c>
      <c r="C48" s="166" t="s">
        <v>266</v>
      </c>
      <c r="D48" s="167"/>
      <c r="E48" s="173"/>
      <c r="F48" s="174"/>
      <c r="G48" s="164"/>
    </row>
    <row r="49" spans="1:6">
      <c r="A49" s="150"/>
      <c r="B49" s="175" t="s">
        <v>321</v>
      </c>
      <c r="C49" s="166" t="s">
        <v>158</v>
      </c>
      <c r="D49" s="176"/>
      <c r="E49" s="173"/>
      <c r="F49" s="174"/>
    </row>
    <row r="50" spans="1:6">
      <c r="B50" s="169" t="s">
        <v>322</v>
      </c>
      <c r="C50" s="166" t="s">
        <v>159</v>
      </c>
      <c r="D50" s="167"/>
      <c r="E50" s="173"/>
      <c r="F50" s="169"/>
    </row>
    <row r="51" spans="1:6">
      <c r="B51" s="169" t="s">
        <v>323</v>
      </c>
      <c r="C51" s="166" t="s">
        <v>267</v>
      </c>
      <c r="D51" s="167"/>
      <c r="E51" s="173"/>
      <c r="F51" s="169"/>
    </row>
    <row r="52" spans="1:6">
      <c r="B52" s="169" t="s">
        <v>324</v>
      </c>
      <c r="C52" s="166" t="s">
        <v>161</v>
      </c>
      <c r="D52" s="167"/>
      <c r="E52" s="173"/>
      <c r="F52" s="169"/>
    </row>
    <row r="53" spans="1:6">
      <c r="B53" s="169" t="s">
        <v>325</v>
      </c>
      <c r="C53" s="166" t="s">
        <v>269</v>
      </c>
      <c r="D53" s="167"/>
      <c r="E53" s="173"/>
      <c r="F53" s="169"/>
    </row>
    <row r="54" spans="1:6">
      <c r="B54" s="169" t="s">
        <v>326</v>
      </c>
      <c r="C54" s="166" t="s">
        <v>163</v>
      </c>
      <c r="D54" s="167"/>
      <c r="E54" s="173"/>
      <c r="F54" s="169"/>
    </row>
    <row r="55" spans="1:6">
      <c r="B55" s="169" t="s">
        <v>186</v>
      </c>
      <c r="C55" s="166" t="s">
        <v>272</v>
      </c>
      <c r="D55" s="167"/>
      <c r="E55" s="173"/>
      <c r="F55" s="169"/>
    </row>
    <row r="56" spans="1:6" ht="13.5" thickBot="1">
      <c r="B56" s="177" t="s">
        <v>69</v>
      </c>
      <c r="C56" s="178" t="s">
        <v>273</v>
      </c>
      <c r="D56" s="179"/>
      <c r="E56" s="180"/>
      <c r="F56" s="1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2" sqref="B2"/>
    </sheetView>
  </sheetViews>
  <sheetFormatPr defaultColWidth="14.85546875" defaultRowHeight="15"/>
  <cols>
    <col min="1" max="1" width="0.85546875" customWidth="1"/>
    <col min="2" max="2" width="4.7109375" customWidth="1"/>
    <col min="3" max="3" width="11.85546875" customWidth="1"/>
    <col min="4" max="4" width="31.140625" customWidth="1"/>
    <col min="5" max="7" width="14.8554687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transitionEntry="1" codeName="Sheet4"/>
  <dimension ref="A1:CK101"/>
  <sheetViews>
    <sheetView workbookViewId="0">
      <selection activeCell="G20" sqref="G20"/>
    </sheetView>
  </sheetViews>
  <sheetFormatPr defaultColWidth="9.85546875" defaultRowHeight="12.75"/>
  <cols>
    <col min="1" max="1" width="9.85546875" style="266"/>
    <col min="2" max="2" width="40.85546875" style="266" customWidth="1"/>
    <col min="3" max="3" width="45.85546875" style="266" customWidth="1"/>
    <col min="4" max="5" width="8.85546875" style="151" customWidth="1"/>
    <col min="6" max="6" width="35.7109375" style="266" customWidth="1"/>
    <col min="7" max="7" width="20.85546875" style="266" customWidth="1"/>
    <col min="8" max="8" width="40.85546875" style="266" customWidth="1"/>
    <col min="9" max="9" width="16.140625" style="266" customWidth="1"/>
    <col min="10" max="10" width="20.85546875" style="266" customWidth="1"/>
    <col min="11" max="12" width="13.85546875" style="266" customWidth="1"/>
    <col min="13" max="13" width="9.85546875" style="266"/>
    <col min="14" max="14" width="14" style="266" customWidth="1"/>
    <col min="15" max="16" width="15.85546875" style="266" customWidth="1"/>
    <col min="17" max="17" width="15.7109375" style="266" customWidth="1"/>
    <col min="18" max="19" width="15.85546875" style="266" customWidth="1"/>
    <col min="20" max="20" width="12.140625" style="266" customWidth="1"/>
    <col min="21" max="21" width="17.140625" style="151" customWidth="1"/>
    <col min="22" max="16384" width="9.85546875" style="151"/>
  </cols>
  <sheetData>
    <row r="1" spans="1:89" ht="15.75">
      <c r="A1" s="151"/>
      <c r="B1" s="151"/>
      <c r="C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AX1" s="181" t="s">
        <v>327</v>
      </c>
      <c r="AY1" s="182">
        <v>4</v>
      </c>
    </row>
    <row r="2" spans="1:89" ht="16.5" thickBot="1">
      <c r="A2" s="151"/>
      <c r="B2" s="151"/>
      <c r="C2" s="183" t="s">
        <v>328</v>
      </c>
      <c r="D2" s="183"/>
      <c r="E2" s="183"/>
      <c r="F2" s="151"/>
      <c r="G2" s="151"/>
      <c r="H2" s="151"/>
      <c r="I2" s="151"/>
      <c r="J2" s="151"/>
      <c r="K2" s="151"/>
      <c r="L2" s="151"/>
      <c r="M2" s="151"/>
      <c r="N2" s="151"/>
      <c r="O2" s="184"/>
      <c r="P2" s="151"/>
      <c r="Q2" s="185"/>
      <c r="R2" s="151"/>
      <c r="S2" s="151"/>
      <c r="T2" s="151"/>
      <c r="AX2" s="186" t="s">
        <v>87</v>
      </c>
      <c r="AY2" s="187">
        <v>3</v>
      </c>
    </row>
    <row r="3" spans="1:89" ht="16.5" thickBot="1">
      <c r="A3" s="151"/>
      <c r="B3" s="188" t="s">
        <v>329</v>
      </c>
      <c r="C3" s="239"/>
      <c r="D3" s="240"/>
      <c r="E3" s="240"/>
      <c r="F3" s="241"/>
      <c r="G3" s="151"/>
      <c r="H3" s="151"/>
      <c r="I3" s="151"/>
      <c r="J3" s="151"/>
      <c r="K3" s="151"/>
      <c r="L3" s="151"/>
      <c r="M3" s="151"/>
      <c r="N3" s="151"/>
      <c r="O3" s="184"/>
      <c r="P3" s="151"/>
      <c r="Q3" s="151"/>
      <c r="R3" s="151"/>
      <c r="S3" s="151"/>
      <c r="T3" s="151"/>
      <c r="AX3" s="186" t="s">
        <v>90</v>
      </c>
      <c r="AY3" s="187">
        <v>3</v>
      </c>
    </row>
    <row r="4" spans="1:89" ht="16.5" thickBot="1">
      <c r="A4" s="151"/>
      <c r="B4" s="151"/>
      <c r="C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AX4" s="186" t="s">
        <v>83</v>
      </c>
      <c r="AY4" s="187">
        <v>3</v>
      </c>
    </row>
    <row r="5" spans="1:89" ht="16.5" thickBot="1">
      <c r="A5" s="242" t="s">
        <v>330</v>
      </c>
      <c r="B5" s="243" t="s">
        <v>331</v>
      </c>
      <c r="C5" s="243" t="s">
        <v>332</v>
      </c>
      <c r="D5" s="243" t="s">
        <v>333</v>
      </c>
      <c r="E5" s="243" t="s">
        <v>334</v>
      </c>
      <c r="F5" s="243" t="s">
        <v>335</v>
      </c>
      <c r="G5" s="243" t="s">
        <v>336</v>
      </c>
      <c r="H5" s="243" t="s">
        <v>337</v>
      </c>
      <c r="I5" s="243" t="s">
        <v>338</v>
      </c>
      <c r="J5" s="243" t="s">
        <v>339</v>
      </c>
      <c r="K5" s="243" t="s">
        <v>340</v>
      </c>
      <c r="L5" s="243" t="s">
        <v>341</v>
      </c>
      <c r="M5" s="243" t="s">
        <v>342</v>
      </c>
      <c r="N5" s="243" t="s">
        <v>343</v>
      </c>
      <c r="O5" s="243" t="s">
        <v>344</v>
      </c>
      <c r="P5" s="243" t="s">
        <v>345</v>
      </c>
      <c r="Q5" s="243" t="s">
        <v>346</v>
      </c>
      <c r="R5" s="243" t="s">
        <v>347</v>
      </c>
      <c r="S5" s="243" t="s">
        <v>348</v>
      </c>
      <c r="T5" s="243" t="s">
        <v>349</v>
      </c>
      <c r="AX5" s="186" t="s">
        <v>79</v>
      </c>
      <c r="AY5" s="187">
        <v>2</v>
      </c>
    </row>
    <row r="6" spans="1:89" ht="15.75">
      <c r="A6" s="261"/>
      <c r="B6" s="261"/>
      <c r="C6" s="261"/>
      <c r="D6"/>
      <c r="E6"/>
      <c r="F6" s="261"/>
      <c r="G6" s="261"/>
      <c r="H6" s="261"/>
      <c r="I6" s="261"/>
      <c r="J6" s="261"/>
      <c r="K6" s="261"/>
      <c r="L6" s="269"/>
      <c r="M6" s="261"/>
      <c r="N6" s="261"/>
      <c r="O6" s="261"/>
      <c r="P6" s="261"/>
      <c r="Q6" s="261"/>
      <c r="R6" s="261"/>
      <c r="S6" s="261"/>
      <c r="T6" s="261"/>
      <c r="W6" s="185"/>
      <c r="X6" s="184"/>
      <c r="Z6" s="185"/>
      <c r="AX6" s="186" t="s">
        <v>76</v>
      </c>
      <c r="AY6" s="187">
        <v>2</v>
      </c>
    </row>
    <row r="7" spans="1:89" ht="15.75">
      <c r="A7" s="261"/>
      <c r="B7" s="261"/>
      <c r="C7" s="261"/>
      <c r="D7"/>
      <c r="E7"/>
      <c r="F7" s="261"/>
      <c r="G7" s="261"/>
      <c r="H7" s="261"/>
      <c r="I7" s="261"/>
      <c r="J7" s="261"/>
      <c r="K7" s="261"/>
      <c r="L7" s="261"/>
      <c r="M7" s="261"/>
      <c r="N7" s="261"/>
      <c r="O7" s="261"/>
      <c r="P7" s="261"/>
      <c r="Q7" s="261"/>
      <c r="R7" s="261"/>
      <c r="S7" s="261"/>
      <c r="T7" s="261"/>
      <c r="W7" s="185"/>
      <c r="X7" s="184"/>
      <c r="Z7" s="185"/>
      <c r="AX7" s="186" t="s">
        <v>73</v>
      </c>
      <c r="AY7" s="187">
        <v>1</v>
      </c>
    </row>
    <row r="8" spans="1:89" ht="15.75">
      <c r="A8" s="261"/>
      <c r="B8" s="261"/>
      <c r="C8" s="261"/>
      <c r="D8"/>
      <c r="E8"/>
      <c r="F8" s="261"/>
      <c r="G8" s="261"/>
      <c r="H8" s="261"/>
      <c r="I8" s="261"/>
      <c r="J8" s="261"/>
      <c r="K8" s="261"/>
      <c r="L8" s="261"/>
      <c r="M8" s="261"/>
      <c r="N8" s="261"/>
      <c r="O8" s="261"/>
      <c r="P8" s="261"/>
      <c r="Q8" s="261"/>
      <c r="R8" s="261"/>
      <c r="S8" s="261"/>
      <c r="T8" s="261"/>
      <c r="W8" s="185"/>
      <c r="X8" s="184"/>
      <c r="Z8" s="185"/>
      <c r="AX8" s="190" t="s">
        <v>61</v>
      </c>
      <c r="AY8" s="187">
        <v>1</v>
      </c>
    </row>
    <row r="9" spans="1:89" ht="16.5" thickBot="1">
      <c r="A9" s="261"/>
      <c r="B9" s="261"/>
      <c r="C9" s="261"/>
      <c r="D9"/>
      <c r="E9"/>
      <c r="F9" s="261"/>
      <c r="G9" s="261"/>
      <c r="H9" s="261"/>
      <c r="I9" s="261"/>
      <c r="J9" s="261"/>
      <c r="K9" s="261"/>
      <c r="L9" s="261"/>
      <c r="M9" s="261"/>
      <c r="N9" s="261"/>
      <c r="O9" s="261"/>
      <c r="P9" s="261"/>
      <c r="Q9" s="261"/>
      <c r="R9" s="261"/>
      <c r="S9" s="261"/>
      <c r="T9" s="261"/>
      <c r="W9" s="185"/>
      <c r="X9" s="184"/>
      <c r="Z9" s="185"/>
      <c r="AX9" s="191" t="s">
        <v>53</v>
      </c>
      <c r="AY9" s="192">
        <v>1</v>
      </c>
    </row>
    <row r="10" spans="1:89" ht="15.75">
      <c r="A10" s="261"/>
      <c r="B10" s="261"/>
      <c r="C10" s="261"/>
      <c r="D10"/>
      <c r="E10"/>
      <c r="F10" s="261"/>
      <c r="G10" s="261"/>
      <c r="H10" s="261"/>
      <c r="I10" s="261"/>
      <c r="J10" s="261"/>
      <c r="K10" s="261"/>
      <c r="L10" s="261"/>
      <c r="M10" s="261"/>
      <c r="N10" s="261"/>
      <c r="O10" s="261"/>
      <c r="P10" s="261"/>
      <c r="Q10" s="261"/>
      <c r="R10" s="261"/>
      <c r="S10" s="261"/>
      <c r="T10" s="261"/>
      <c r="W10" s="185"/>
      <c r="X10" s="184"/>
      <c r="Z10" s="185"/>
      <c r="AX10" s="193" t="s">
        <v>9</v>
      </c>
      <c r="AY10" s="193" t="s">
        <v>9</v>
      </c>
    </row>
    <row r="11" spans="1:89" ht="15">
      <c r="A11" s="261"/>
      <c r="B11" s="261"/>
      <c r="C11" s="261"/>
      <c r="D11"/>
      <c r="E11"/>
      <c r="F11" s="261"/>
      <c r="G11" s="261"/>
      <c r="H11" s="261"/>
      <c r="I11" s="261"/>
      <c r="J11" s="261"/>
      <c r="K11" s="261"/>
      <c r="L11" s="261"/>
      <c r="M11" s="261"/>
      <c r="N11" s="261"/>
      <c r="O11" s="261"/>
      <c r="P11" s="261"/>
      <c r="Q11" s="261"/>
      <c r="R11" s="261"/>
      <c r="S11" s="261"/>
      <c r="T11" s="261"/>
      <c r="W11" s="185"/>
      <c r="X11" s="184"/>
      <c r="Z11" s="185"/>
      <c r="CK11" s="244"/>
    </row>
    <row r="12" spans="1:89" ht="15">
      <c r="A12" s="261"/>
      <c r="B12" s="261"/>
      <c r="C12" s="261"/>
      <c r="D12"/>
      <c r="E12"/>
      <c r="F12" s="261"/>
      <c r="G12" s="261"/>
      <c r="H12" s="261"/>
      <c r="I12" s="261"/>
      <c r="J12" s="261"/>
      <c r="K12" s="261"/>
      <c r="L12" s="261"/>
      <c r="M12" s="261"/>
      <c r="N12" s="261"/>
      <c r="O12" s="261"/>
      <c r="P12" s="261"/>
      <c r="Q12" s="261"/>
      <c r="R12" s="261"/>
      <c r="S12" s="261"/>
      <c r="T12" s="261"/>
      <c r="W12" s="185"/>
      <c r="X12" s="184"/>
      <c r="Z12" s="185"/>
      <c r="CK12" s="244"/>
    </row>
    <row r="13" spans="1:89" ht="15">
      <c r="A13" s="261"/>
      <c r="B13" s="261"/>
      <c r="C13" s="261"/>
      <c r="D13"/>
      <c r="E13"/>
      <c r="F13" s="261"/>
      <c r="G13" s="261"/>
      <c r="H13" s="261"/>
      <c r="I13" s="261"/>
      <c r="J13" s="261"/>
      <c r="K13" s="261"/>
      <c r="L13" s="261"/>
      <c r="M13" s="261"/>
      <c r="N13" s="261"/>
      <c r="O13" s="261"/>
      <c r="P13" s="261"/>
      <c r="Q13" s="261"/>
      <c r="R13" s="261"/>
      <c r="S13" s="261"/>
      <c r="T13" s="261"/>
      <c r="W13" s="185"/>
      <c r="X13" s="184"/>
      <c r="Z13" s="185"/>
      <c r="CK13" s="244"/>
    </row>
    <row r="14" spans="1:89" ht="15">
      <c r="A14" s="261"/>
      <c r="B14" s="261"/>
      <c r="C14" s="261"/>
      <c r="D14"/>
      <c r="E14"/>
      <c r="F14" s="261"/>
      <c r="G14" s="261"/>
      <c r="H14" s="261"/>
      <c r="I14" s="261"/>
      <c r="J14" s="261"/>
      <c r="K14" s="261"/>
      <c r="L14" s="261"/>
      <c r="M14" s="261"/>
      <c r="N14" s="261"/>
      <c r="O14" s="261"/>
      <c r="P14" s="261"/>
      <c r="Q14" s="261"/>
      <c r="R14" s="261"/>
      <c r="S14" s="261"/>
      <c r="T14" s="261"/>
      <c r="W14" s="185"/>
      <c r="X14" s="184"/>
      <c r="Z14" s="185"/>
      <c r="CK14" s="244"/>
    </row>
    <row r="15" spans="1:89" ht="15">
      <c r="A15" s="261"/>
      <c r="B15" s="261"/>
      <c r="C15" s="261"/>
      <c r="D15"/>
      <c r="E15"/>
      <c r="F15" s="261"/>
      <c r="G15" s="261"/>
      <c r="H15" s="261"/>
      <c r="I15" s="261"/>
      <c r="J15" s="261"/>
      <c r="K15" s="261"/>
      <c r="L15" s="261"/>
      <c r="M15" s="261"/>
      <c r="N15" s="261"/>
      <c r="O15" s="261"/>
      <c r="P15" s="261"/>
      <c r="Q15" s="261"/>
      <c r="R15" s="261"/>
      <c r="S15" s="261"/>
      <c r="T15" s="261"/>
      <c r="W15" s="185"/>
      <c r="X15" s="184"/>
      <c r="Z15" s="185"/>
      <c r="CK15" s="244"/>
    </row>
    <row r="16" spans="1:89" ht="15">
      <c r="A16" s="261"/>
      <c r="B16" s="261"/>
      <c r="C16" s="261"/>
      <c r="D16"/>
      <c r="E16"/>
      <c r="F16" s="261"/>
      <c r="G16" s="261"/>
      <c r="H16" s="261"/>
      <c r="I16" s="261"/>
      <c r="J16" s="261"/>
      <c r="K16" s="261"/>
      <c r="L16" s="261"/>
      <c r="M16" s="261"/>
      <c r="N16" s="261"/>
      <c r="O16" s="261"/>
      <c r="P16" s="261"/>
      <c r="Q16" s="261"/>
      <c r="R16" s="261"/>
      <c r="S16" s="261"/>
      <c r="T16" s="261"/>
      <c r="V16" s="194"/>
      <c r="W16" s="185"/>
      <c r="X16" s="184"/>
      <c r="Z16" s="185"/>
      <c r="CK16" s="244"/>
    </row>
    <row r="17" spans="1:89" ht="15">
      <c r="A17" s="261"/>
      <c r="B17" s="261"/>
      <c r="C17" s="261"/>
      <c r="D17"/>
      <c r="E17"/>
      <c r="F17" s="261"/>
      <c r="G17" s="261"/>
      <c r="H17" s="261"/>
      <c r="I17" s="261"/>
      <c r="J17" s="261"/>
      <c r="K17" s="261"/>
      <c r="L17" s="261"/>
      <c r="M17" s="261"/>
      <c r="N17" s="261"/>
      <c r="O17" s="261"/>
      <c r="P17" s="261"/>
      <c r="Q17" s="261"/>
      <c r="R17" s="261"/>
      <c r="S17" s="261"/>
      <c r="T17" s="261"/>
      <c r="W17" s="185"/>
      <c r="X17" s="184"/>
      <c r="Z17" s="185"/>
      <c r="CK17" s="244"/>
    </row>
    <row r="18" spans="1:89" ht="15">
      <c r="A18" s="261"/>
      <c r="B18" s="261"/>
      <c r="C18" s="261"/>
      <c r="D18"/>
      <c r="E18"/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261"/>
      <c r="T18" s="261"/>
      <c r="W18" s="185"/>
      <c r="X18" s="184"/>
      <c r="Z18" s="185"/>
      <c r="CK18" s="244"/>
    </row>
    <row r="19" spans="1:89" ht="15">
      <c r="A19" s="261"/>
      <c r="B19" s="261"/>
      <c r="C19" s="261"/>
      <c r="D19"/>
      <c r="E19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261"/>
      <c r="T19" s="261"/>
      <c r="W19" s="185"/>
      <c r="X19" s="184"/>
      <c r="Z19" s="185"/>
      <c r="CK19" s="244"/>
    </row>
    <row r="20" spans="1:89" ht="15">
      <c r="A20" s="261"/>
      <c r="B20" s="261"/>
      <c r="C20" s="261"/>
      <c r="D20"/>
      <c r="E20"/>
      <c r="F20" s="261"/>
      <c r="G20" s="261"/>
      <c r="H20" s="261"/>
      <c r="I20" s="261"/>
      <c r="J20" s="261"/>
      <c r="K20" s="261"/>
      <c r="L20" s="261"/>
      <c r="M20" s="261"/>
      <c r="N20" s="261"/>
      <c r="O20" s="261"/>
      <c r="P20" s="261"/>
      <c r="Q20" s="261"/>
      <c r="R20" s="261"/>
      <c r="S20" s="261"/>
      <c r="T20" s="261"/>
      <c r="W20" s="185"/>
      <c r="X20" s="184"/>
      <c r="Z20" s="185"/>
      <c r="CK20" s="244"/>
    </row>
    <row r="21" spans="1:89" ht="15">
      <c r="A21" s="261"/>
      <c r="B21" s="261"/>
      <c r="C21" s="261"/>
      <c r="D21"/>
      <c r="E21"/>
      <c r="F21" s="261"/>
      <c r="G21" s="261"/>
      <c r="H21" s="261"/>
      <c r="I21" s="261"/>
      <c r="J21" s="261"/>
      <c r="K21" s="261"/>
      <c r="L21" s="261"/>
      <c r="M21" s="261"/>
      <c r="N21" s="261"/>
      <c r="O21" s="261"/>
      <c r="P21" s="261"/>
      <c r="Q21" s="261"/>
      <c r="R21" s="261"/>
      <c r="S21" s="261"/>
      <c r="T21" s="261"/>
      <c r="W21" s="185"/>
      <c r="X21" s="184"/>
      <c r="Z21" s="185"/>
      <c r="CK21" s="244"/>
    </row>
    <row r="22" spans="1:89" ht="15">
      <c r="A22" s="261"/>
      <c r="B22" s="261"/>
      <c r="C22" s="261"/>
      <c r="D22"/>
      <c r="E22"/>
      <c r="F22" s="261"/>
      <c r="G22" s="261"/>
      <c r="H22" s="261"/>
      <c r="I22" s="261"/>
      <c r="J22" s="261"/>
      <c r="K22" s="261"/>
      <c r="L22" s="261"/>
      <c r="M22" s="261"/>
      <c r="N22" s="261"/>
      <c r="O22" s="261"/>
      <c r="P22" s="261"/>
      <c r="Q22" s="261"/>
      <c r="R22" s="261"/>
      <c r="S22" s="261"/>
      <c r="T22" s="261"/>
      <c r="W22" s="185"/>
      <c r="X22" s="184"/>
      <c r="Z22" s="185"/>
      <c r="CK22" s="244"/>
    </row>
    <row r="23" spans="1:89" ht="15">
      <c r="A23" s="261"/>
      <c r="B23" s="261"/>
      <c r="C23" s="261"/>
      <c r="D23"/>
      <c r="E23"/>
      <c r="F23" s="261"/>
      <c r="G23" s="261"/>
      <c r="H23" s="261"/>
      <c r="I23" s="261"/>
      <c r="J23" s="261"/>
      <c r="K23" s="261"/>
      <c r="L23" s="261"/>
      <c r="M23" s="261"/>
      <c r="N23" s="261"/>
      <c r="O23" s="261"/>
      <c r="P23" s="261"/>
      <c r="Q23" s="261"/>
      <c r="R23" s="261"/>
      <c r="S23" s="261"/>
      <c r="T23" s="261"/>
      <c r="W23" s="185"/>
      <c r="X23" s="184"/>
      <c r="Z23" s="185"/>
      <c r="CK23" s="244"/>
    </row>
    <row r="24" spans="1:89" ht="15">
      <c r="A24" s="261"/>
      <c r="B24" s="261"/>
      <c r="C24" s="261"/>
      <c r="D24"/>
      <c r="E24"/>
      <c r="F24" s="261"/>
      <c r="G24" s="261"/>
      <c r="H24" s="261"/>
      <c r="I24" s="261"/>
      <c r="J24" s="261"/>
      <c r="K24" s="261"/>
      <c r="L24" s="261"/>
      <c r="M24" s="261"/>
      <c r="N24" s="261"/>
      <c r="O24" s="261"/>
      <c r="P24" s="261"/>
      <c r="Q24" s="261"/>
      <c r="R24" s="261"/>
      <c r="S24" s="261"/>
      <c r="T24" s="261"/>
      <c r="W24" s="185"/>
      <c r="X24" s="184"/>
      <c r="Z24" s="185"/>
      <c r="CK24" s="244"/>
    </row>
    <row r="25" spans="1:89" ht="15">
      <c r="A25" s="261"/>
      <c r="B25" s="261"/>
      <c r="C25" s="261"/>
      <c r="D25"/>
      <c r="E25"/>
      <c r="F25" s="261"/>
      <c r="G25" s="261"/>
      <c r="H25" s="261"/>
      <c r="I25" s="261"/>
      <c r="J25" s="261"/>
      <c r="K25" s="261"/>
      <c r="L25" s="261"/>
      <c r="M25" s="261"/>
      <c r="N25" s="261"/>
      <c r="O25" s="261"/>
      <c r="P25" s="261"/>
      <c r="Q25" s="261"/>
      <c r="R25" s="261"/>
      <c r="S25" s="261"/>
      <c r="T25" s="261"/>
      <c r="W25" s="185"/>
      <c r="X25" s="184"/>
      <c r="Z25" s="185"/>
      <c r="CK25" s="244"/>
    </row>
    <row r="26" spans="1:89" ht="15">
      <c r="A26" s="261"/>
      <c r="B26" s="261"/>
      <c r="C26" s="261"/>
      <c r="D26"/>
      <c r="E26"/>
      <c r="F26" s="261"/>
      <c r="G26" s="261"/>
      <c r="H26" s="261"/>
      <c r="I26" s="261"/>
      <c r="J26" s="261"/>
      <c r="K26" s="261"/>
      <c r="L26" s="261"/>
      <c r="M26" s="261"/>
      <c r="N26" s="261"/>
      <c r="O26" s="261"/>
      <c r="P26" s="261"/>
      <c r="Q26" s="261"/>
      <c r="R26" s="261"/>
      <c r="S26" s="261"/>
      <c r="T26" s="261"/>
      <c r="W26" s="185"/>
      <c r="X26" s="184"/>
      <c r="Z26" s="185"/>
      <c r="CK26" s="244"/>
    </row>
    <row r="27" spans="1:89" ht="15">
      <c r="A27" s="261"/>
      <c r="B27" s="261"/>
      <c r="C27" s="261"/>
      <c r="D27"/>
      <c r="E27"/>
      <c r="F27" s="261"/>
      <c r="G27" s="261"/>
      <c r="H27" s="261"/>
      <c r="I27" s="261"/>
      <c r="J27" s="261"/>
      <c r="K27" s="261"/>
      <c r="L27" s="261"/>
      <c r="M27" s="261"/>
      <c r="N27" s="261"/>
      <c r="O27" s="261"/>
      <c r="P27" s="261"/>
      <c r="Q27" s="261"/>
      <c r="R27" s="261"/>
      <c r="S27" s="261"/>
      <c r="T27" s="261"/>
      <c r="W27" s="185"/>
      <c r="X27" s="184"/>
      <c r="Z27" s="185"/>
    </row>
    <row r="28" spans="1:89" ht="15">
      <c r="A28" s="261"/>
      <c r="B28" s="261"/>
      <c r="C28" s="261"/>
      <c r="D28"/>
      <c r="E28"/>
      <c r="F28" s="261"/>
      <c r="G28" s="261"/>
      <c r="H28" s="261"/>
      <c r="I28" s="261"/>
      <c r="J28" s="261"/>
      <c r="K28" s="261"/>
      <c r="L28" s="261"/>
      <c r="M28" s="261"/>
      <c r="N28" s="261"/>
      <c r="O28" s="261"/>
      <c r="P28" s="261"/>
      <c r="Q28" s="261"/>
      <c r="R28" s="261"/>
      <c r="S28" s="261"/>
      <c r="T28" s="261"/>
      <c r="W28" s="185"/>
      <c r="X28" s="184"/>
      <c r="Z28" s="185"/>
    </row>
    <row r="29" spans="1:89" ht="15">
      <c r="A29" s="261"/>
      <c r="B29" s="261"/>
      <c r="C29" s="261"/>
      <c r="D29"/>
      <c r="E29"/>
      <c r="F29" s="261"/>
      <c r="G29" s="261"/>
      <c r="H29" s="261"/>
      <c r="I29" s="261"/>
      <c r="J29" s="261"/>
      <c r="K29" s="261"/>
      <c r="L29" s="261"/>
      <c r="M29" s="261"/>
      <c r="N29" s="261"/>
      <c r="O29" s="261"/>
      <c r="P29" s="261"/>
      <c r="Q29" s="261"/>
      <c r="R29" s="261"/>
      <c r="S29" s="261"/>
      <c r="T29" s="261"/>
      <c r="W29" s="185"/>
      <c r="X29" s="184"/>
      <c r="Z29" s="185"/>
    </row>
    <row r="30" spans="1:89" ht="15">
      <c r="A30" s="261"/>
      <c r="B30" s="261"/>
      <c r="C30" s="261"/>
      <c r="D30"/>
      <c r="E30"/>
      <c r="F30" s="261"/>
      <c r="G30" s="261"/>
      <c r="H30" s="261"/>
      <c r="I30" s="261"/>
      <c r="J30" s="261"/>
      <c r="K30" s="261"/>
      <c r="L30" s="261"/>
      <c r="M30" s="261"/>
      <c r="N30" s="261"/>
      <c r="O30" s="261"/>
      <c r="P30" s="261"/>
      <c r="Q30" s="261"/>
      <c r="R30" s="261"/>
      <c r="S30" s="261"/>
      <c r="T30" s="261"/>
      <c r="W30" s="185"/>
      <c r="X30" s="184"/>
      <c r="Z30" s="185"/>
    </row>
    <row r="31" spans="1:89" ht="15">
      <c r="A31" s="261"/>
      <c r="B31" s="261"/>
      <c r="C31" s="261"/>
      <c r="D31"/>
      <c r="E31"/>
      <c r="F31" s="261"/>
      <c r="G31" s="261"/>
      <c r="H31" s="261"/>
      <c r="I31" s="261"/>
      <c r="J31" s="261"/>
      <c r="K31" s="261"/>
      <c r="L31" s="261"/>
      <c r="M31" s="261"/>
      <c r="N31" s="261"/>
      <c r="O31" s="261"/>
      <c r="P31" s="261"/>
      <c r="Q31" s="261"/>
      <c r="R31" s="261"/>
      <c r="S31" s="261"/>
      <c r="T31" s="261"/>
      <c r="W31" s="185"/>
      <c r="X31" s="184"/>
      <c r="Z31" s="185"/>
    </row>
    <row r="32" spans="1:89" ht="15">
      <c r="A32" s="261"/>
      <c r="B32" s="261"/>
      <c r="C32" s="261"/>
      <c r="D32"/>
      <c r="E32"/>
      <c r="F32" s="261"/>
      <c r="G32" s="261"/>
      <c r="H32" s="261"/>
      <c r="I32" s="261"/>
      <c r="J32" s="261"/>
      <c r="K32" s="261"/>
      <c r="L32" s="261"/>
      <c r="M32" s="261"/>
      <c r="N32" s="261"/>
      <c r="O32" s="261"/>
      <c r="P32" s="261"/>
      <c r="Q32" s="261"/>
      <c r="R32" s="261"/>
      <c r="S32" s="261"/>
      <c r="T32" s="261"/>
      <c r="W32" s="185"/>
      <c r="X32" s="184"/>
      <c r="Z32" s="185"/>
    </row>
    <row r="33" spans="1:26" ht="15">
      <c r="A33" s="261"/>
      <c r="B33" s="261"/>
      <c r="C33" s="261"/>
      <c r="D33"/>
      <c r="E33"/>
      <c r="F33" s="261"/>
      <c r="G33" s="261"/>
      <c r="H33" s="261"/>
      <c r="I33" s="261"/>
      <c r="J33" s="261"/>
      <c r="K33" s="261"/>
      <c r="L33" s="261"/>
      <c r="M33" s="261"/>
      <c r="N33" s="261"/>
      <c r="O33" s="261"/>
      <c r="P33" s="261"/>
      <c r="Q33" s="261"/>
      <c r="R33" s="261"/>
      <c r="S33" s="261"/>
      <c r="T33" s="261"/>
      <c r="W33" s="185"/>
      <c r="X33" s="184"/>
      <c r="Z33" s="185"/>
    </row>
    <row r="34" spans="1:26" ht="15">
      <c r="A34" s="261"/>
      <c r="B34" s="261"/>
      <c r="C34" s="261"/>
      <c r="D34"/>
      <c r="E34"/>
      <c r="F34" s="261"/>
      <c r="G34" s="261"/>
      <c r="H34" s="261"/>
      <c r="I34" s="261"/>
      <c r="J34" s="261"/>
      <c r="K34" s="261"/>
      <c r="L34" s="261"/>
      <c r="M34" s="261"/>
      <c r="N34" s="261"/>
      <c r="O34" s="261"/>
      <c r="P34" s="261"/>
      <c r="Q34" s="261"/>
      <c r="R34" s="261"/>
      <c r="S34" s="261"/>
      <c r="T34" s="261"/>
      <c r="W34" s="185"/>
      <c r="X34" s="184"/>
      <c r="Z34" s="185"/>
    </row>
    <row r="35" spans="1:26" ht="15">
      <c r="A35" s="261"/>
      <c r="B35" s="261"/>
      <c r="C35" s="261"/>
      <c r="D35"/>
      <c r="E35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P35" s="261"/>
      <c r="Q35" s="261"/>
      <c r="R35" s="261"/>
      <c r="S35" s="261"/>
      <c r="T35" s="261"/>
      <c r="W35" s="185"/>
      <c r="X35" s="184"/>
      <c r="Z35" s="185"/>
    </row>
    <row r="36" spans="1:26" ht="15">
      <c r="A36" s="261"/>
      <c r="B36" s="261"/>
      <c r="C36" s="261"/>
      <c r="D36"/>
      <c r="E36"/>
      <c r="F36" s="261"/>
      <c r="G36" s="261"/>
      <c r="H36" s="261"/>
      <c r="I36" s="261"/>
      <c r="J36" s="261"/>
      <c r="K36" s="261"/>
      <c r="L36" s="261"/>
      <c r="M36" s="261"/>
      <c r="N36" s="261"/>
      <c r="O36" s="261"/>
      <c r="P36" s="261"/>
      <c r="Q36" s="261"/>
      <c r="R36" s="261"/>
      <c r="S36" s="261"/>
      <c r="T36" s="261"/>
      <c r="W36" s="185"/>
      <c r="X36" s="184"/>
      <c r="Z36" s="185"/>
    </row>
    <row r="37" spans="1:26" ht="15">
      <c r="A37" s="261"/>
      <c r="B37" s="261"/>
      <c r="C37" s="261"/>
      <c r="D37"/>
      <c r="E37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P37" s="261"/>
      <c r="Q37" s="261"/>
      <c r="R37" s="261"/>
      <c r="S37" s="261"/>
      <c r="T37" s="261"/>
      <c r="W37" s="185"/>
      <c r="X37" s="184"/>
      <c r="Z37" s="185"/>
    </row>
    <row r="38" spans="1:26" ht="15">
      <c r="A38" s="261"/>
      <c r="B38" s="261"/>
      <c r="C38" s="261"/>
      <c r="D38"/>
      <c r="E38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P38" s="261"/>
      <c r="Q38" s="261"/>
      <c r="R38" s="261"/>
      <c r="S38" s="261"/>
      <c r="T38" s="261"/>
      <c r="W38" s="185"/>
      <c r="X38" s="184"/>
      <c r="Z38" s="185"/>
    </row>
    <row r="39" spans="1:26" ht="15">
      <c r="A39" s="261"/>
      <c r="B39" s="261"/>
      <c r="C39" s="261"/>
      <c r="D39"/>
      <c r="E39"/>
      <c r="F39" s="261"/>
      <c r="G39" s="261"/>
      <c r="H39" s="261"/>
      <c r="I39" s="261"/>
      <c r="J39" s="261"/>
      <c r="K39" s="261"/>
      <c r="L39" s="261"/>
      <c r="M39" s="261"/>
      <c r="N39" s="261"/>
      <c r="O39" s="261"/>
      <c r="P39" s="261"/>
      <c r="Q39" s="261"/>
      <c r="R39" s="261"/>
      <c r="S39" s="261"/>
      <c r="T39" s="261"/>
      <c r="W39" s="185"/>
      <c r="X39" s="184"/>
      <c r="Z39" s="185"/>
    </row>
    <row r="40" spans="1:26" ht="15">
      <c r="A40" s="261"/>
      <c r="B40" s="261"/>
      <c r="C40" s="261"/>
      <c r="D40"/>
      <c r="E40"/>
      <c r="F40" s="261"/>
      <c r="G40" s="261"/>
      <c r="H40" s="261"/>
      <c r="I40" s="261"/>
      <c r="J40" s="261"/>
      <c r="K40" s="261"/>
      <c r="L40" s="261"/>
      <c r="M40" s="261"/>
      <c r="N40" s="261"/>
      <c r="O40" s="261"/>
      <c r="P40" s="261"/>
      <c r="Q40" s="261"/>
      <c r="R40" s="261"/>
      <c r="S40" s="261"/>
      <c r="T40" s="261"/>
      <c r="W40" s="185"/>
      <c r="X40" s="184"/>
      <c r="Z40" s="185"/>
    </row>
    <row r="41" spans="1:26" ht="15">
      <c r="A41" s="261"/>
      <c r="B41" s="261"/>
      <c r="C41" s="261"/>
      <c r="D41"/>
      <c r="E4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P41" s="261"/>
      <c r="Q41" s="261"/>
      <c r="R41" s="261"/>
      <c r="S41" s="261"/>
      <c r="T41" s="261"/>
      <c r="W41" s="185"/>
      <c r="X41" s="184"/>
      <c r="Z41" s="185"/>
    </row>
    <row r="42" spans="1:26" ht="15">
      <c r="A42" s="261"/>
      <c r="B42" s="261"/>
      <c r="C42" s="261"/>
      <c r="D42"/>
      <c r="E42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261"/>
      <c r="W42" s="185"/>
      <c r="X42" s="184"/>
      <c r="Z42" s="185"/>
    </row>
    <row r="43" spans="1:26" ht="15">
      <c r="A43" s="261"/>
      <c r="B43" s="261"/>
      <c r="C43" s="261"/>
      <c r="D43"/>
      <c r="E43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P43" s="261"/>
      <c r="Q43" s="261"/>
      <c r="R43" s="261"/>
      <c r="S43" s="261"/>
      <c r="T43" s="261"/>
      <c r="W43" s="185"/>
      <c r="X43" s="184"/>
      <c r="Z43" s="185"/>
    </row>
    <row r="44" spans="1:26" ht="15">
      <c r="A44" s="261"/>
      <c r="B44" s="261"/>
      <c r="C44" s="261"/>
      <c r="D44"/>
      <c r="E44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P44" s="261"/>
      <c r="Q44" s="261"/>
      <c r="R44" s="261"/>
      <c r="S44" s="261"/>
      <c r="T44" s="261"/>
      <c r="W44" s="185"/>
      <c r="X44" s="184"/>
      <c r="Z44" s="185"/>
    </row>
    <row r="45" spans="1:26" ht="15">
      <c r="A45" s="261"/>
      <c r="B45" s="261"/>
      <c r="C45" s="261"/>
      <c r="D45"/>
      <c r="E45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P45" s="261"/>
      <c r="Q45" s="261"/>
      <c r="R45" s="261"/>
      <c r="S45" s="261"/>
      <c r="T45" s="261"/>
      <c r="W45" s="185"/>
      <c r="X45" s="184"/>
      <c r="Z45" s="185"/>
    </row>
    <row r="46" spans="1:26" ht="15">
      <c r="A46" s="261"/>
      <c r="B46" s="261"/>
      <c r="C46" s="261"/>
      <c r="D46"/>
      <c r="E46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P46" s="261"/>
      <c r="Q46" s="261"/>
      <c r="R46" s="261"/>
      <c r="S46" s="261"/>
      <c r="T46" s="261"/>
      <c r="W46" s="185"/>
      <c r="X46" s="184"/>
      <c r="Z46" s="185"/>
    </row>
    <row r="47" spans="1:26" ht="15">
      <c r="A47" s="261"/>
      <c r="B47" s="261"/>
      <c r="C47" s="261"/>
      <c r="D47"/>
      <c r="E47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P47" s="261"/>
      <c r="Q47" s="261"/>
      <c r="R47" s="261"/>
      <c r="S47" s="261"/>
      <c r="T47" s="261"/>
      <c r="W47" s="185"/>
      <c r="X47" s="184"/>
      <c r="Z47" s="185"/>
    </row>
    <row r="48" spans="1:26" ht="15">
      <c r="A48" s="261"/>
      <c r="B48" s="261"/>
      <c r="C48" s="261"/>
      <c r="D48"/>
      <c r="E48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W48" s="185"/>
      <c r="X48" s="184"/>
      <c r="Z48" s="185"/>
    </row>
    <row r="49" spans="1:26" ht="15">
      <c r="A49" s="261"/>
      <c r="B49" s="261"/>
      <c r="C49" s="261"/>
      <c r="D49"/>
      <c r="E49"/>
      <c r="F49" s="261"/>
      <c r="G49" s="261"/>
      <c r="H49" s="261"/>
      <c r="I49" s="261"/>
      <c r="J49" s="261"/>
      <c r="K49" s="261"/>
      <c r="L49" s="261"/>
      <c r="M49" s="261"/>
      <c r="N49" s="261"/>
      <c r="O49" s="261"/>
      <c r="P49" s="261"/>
      <c r="Q49" s="261"/>
      <c r="R49" s="261"/>
      <c r="S49" s="261"/>
      <c r="T49" s="261"/>
      <c r="W49" s="185"/>
      <c r="X49" s="184"/>
      <c r="Z49" s="185"/>
    </row>
    <row r="50" spans="1:26" ht="15">
      <c r="A50" s="261"/>
      <c r="B50" s="261"/>
      <c r="C50" s="261"/>
      <c r="D50"/>
      <c r="E50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1"/>
      <c r="R50" s="261"/>
      <c r="S50" s="261"/>
      <c r="T50" s="261"/>
      <c r="W50" s="185"/>
      <c r="X50" s="184"/>
      <c r="Z50" s="185"/>
    </row>
    <row r="51" spans="1:26" ht="15">
      <c r="A51" s="261"/>
      <c r="B51" s="261"/>
      <c r="C51" s="261"/>
      <c r="D51"/>
      <c r="E51"/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261"/>
      <c r="W51" s="185"/>
      <c r="X51" s="184"/>
      <c r="Z51" s="185"/>
    </row>
    <row r="52" spans="1:26" ht="15">
      <c r="A52" s="261"/>
      <c r="B52" s="261"/>
      <c r="C52" s="261"/>
      <c r="D52"/>
      <c r="E52"/>
      <c r="F52" s="261"/>
      <c r="G52" s="261"/>
      <c r="H52" s="261"/>
      <c r="I52" s="261"/>
      <c r="J52" s="261"/>
      <c r="K52" s="261"/>
      <c r="L52" s="261"/>
      <c r="M52" s="261"/>
      <c r="N52" s="261"/>
      <c r="O52" s="261"/>
      <c r="P52" s="261"/>
      <c r="Q52" s="261"/>
      <c r="R52" s="261"/>
      <c r="S52" s="261"/>
      <c r="T52" s="261"/>
      <c r="W52" s="185"/>
      <c r="X52" s="184"/>
      <c r="Z52" s="185"/>
    </row>
    <row r="53" spans="1:26" ht="15">
      <c r="A53" s="261"/>
      <c r="B53" s="261"/>
      <c r="C53" s="261"/>
      <c r="D53"/>
      <c r="E53"/>
      <c r="F53" s="261"/>
      <c r="G53" s="261"/>
      <c r="H53" s="261"/>
      <c r="I53" s="261"/>
      <c r="J53" s="261"/>
      <c r="K53" s="261"/>
      <c r="L53" s="261"/>
      <c r="M53" s="261"/>
      <c r="N53" s="261"/>
      <c r="O53" s="261"/>
      <c r="P53" s="261"/>
      <c r="Q53" s="261"/>
      <c r="R53" s="261"/>
      <c r="S53" s="261"/>
      <c r="T53" s="261"/>
      <c r="W53" s="185"/>
      <c r="X53" s="184"/>
      <c r="Z53" s="185"/>
    </row>
    <row r="54" spans="1:26">
      <c r="A54" s="189"/>
      <c r="B54" s="267"/>
      <c r="C54" s="189"/>
      <c r="D54" s="189"/>
      <c r="E54" s="189"/>
      <c r="Z54" s="185"/>
    </row>
    <row r="55" spans="1:26">
      <c r="A55" s="189"/>
      <c r="B55" s="267"/>
      <c r="C55" s="189"/>
      <c r="D55" s="189"/>
      <c r="E55" s="189"/>
      <c r="Z55" s="185"/>
    </row>
    <row r="56" spans="1:26">
      <c r="A56" s="189"/>
      <c r="B56" s="267"/>
      <c r="C56" s="189"/>
      <c r="D56" s="189"/>
      <c r="E56" s="189"/>
      <c r="Z56" s="185"/>
    </row>
    <row r="57" spans="1:26">
      <c r="A57" s="189"/>
      <c r="B57" s="267"/>
      <c r="C57" s="189"/>
      <c r="D57" s="189"/>
      <c r="E57" s="189"/>
      <c r="Z57" s="185"/>
    </row>
    <row r="58" spans="1:26">
      <c r="A58" s="189"/>
      <c r="B58" s="267"/>
      <c r="C58" s="189"/>
      <c r="D58" s="189"/>
      <c r="E58" s="189"/>
      <c r="Z58" s="185"/>
    </row>
    <row r="59" spans="1:26">
      <c r="A59" s="189"/>
      <c r="B59" s="267"/>
      <c r="C59" s="189"/>
      <c r="D59" s="189"/>
      <c r="E59" s="189"/>
      <c r="Z59" s="185"/>
    </row>
    <row r="60" spans="1:26">
      <c r="A60" s="189"/>
      <c r="B60" s="267"/>
      <c r="C60" s="189"/>
      <c r="D60" s="189"/>
      <c r="E60" s="189"/>
      <c r="Z60" s="185"/>
    </row>
    <row r="61" spans="1:26">
      <c r="A61" s="189"/>
      <c r="B61" s="267"/>
      <c r="C61" s="189"/>
      <c r="D61" s="189"/>
      <c r="E61" s="189"/>
      <c r="Z61" s="185"/>
    </row>
    <row r="62" spans="1:26">
      <c r="A62" s="189"/>
      <c r="B62" s="267"/>
      <c r="C62" s="189"/>
      <c r="D62" s="189"/>
      <c r="E62" s="189"/>
      <c r="Z62" s="185"/>
    </row>
    <row r="63" spans="1:26">
      <c r="A63" s="189"/>
      <c r="B63" s="267"/>
      <c r="C63" s="189"/>
      <c r="D63" s="189"/>
      <c r="E63" s="189"/>
      <c r="Z63" s="185"/>
    </row>
    <row r="64" spans="1:26">
      <c r="A64" s="189"/>
      <c r="B64" s="268"/>
      <c r="C64" s="189"/>
      <c r="D64" s="189"/>
      <c r="E64" s="189"/>
      <c r="Z64" s="185"/>
    </row>
    <row r="65" spans="1:26">
      <c r="A65" s="189"/>
      <c r="B65" s="267"/>
      <c r="C65" s="189"/>
      <c r="D65" s="189"/>
      <c r="E65" s="189"/>
      <c r="Z65" s="185"/>
    </row>
    <row r="66" spans="1:26">
      <c r="A66" s="189"/>
      <c r="B66" s="267"/>
      <c r="C66" s="189"/>
      <c r="D66" s="189"/>
      <c r="E66" s="189"/>
      <c r="Z66" s="185"/>
    </row>
    <row r="67" spans="1:26">
      <c r="A67" s="189"/>
      <c r="B67" s="267"/>
      <c r="C67" s="189"/>
      <c r="D67" s="189"/>
      <c r="E67" s="189"/>
      <c r="Z67" s="185"/>
    </row>
    <row r="68" spans="1:26">
      <c r="A68" s="189"/>
      <c r="B68" s="267"/>
      <c r="C68" s="189"/>
      <c r="D68" s="189"/>
      <c r="E68" s="189"/>
      <c r="Z68" s="185"/>
    </row>
    <row r="69" spans="1:26">
      <c r="A69" s="189"/>
      <c r="B69" s="267"/>
      <c r="C69" s="189"/>
      <c r="D69" s="189"/>
      <c r="E69" s="189"/>
      <c r="Z69" s="185"/>
    </row>
    <row r="70" spans="1:26">
      <c r="A70" s="189"/>
      <c r="B70" s="267"/>
      <c r="C70" s="189"/>
      <c r="D70" s="189"/>
      <c r="E70" s="189"/>
      <c r="Z70" s="185"/>
    </row>
    <row r="71" spans="1:26">
      <c r="A71" s="189"/>
      <c r="B71" s="267"/>
      <c r="C71" s="189"/>
      <c r="D71" s="189"/>
      <c r="E71" s="189"/>
      <c r="Z71" s="185"/>
    </row>
    <row r="72" spans="1:26">
      <c r="A72" s="189"/>
      <c r="B72" s="267"/>
      <c r="C72" s="189"/>
      <c r="D72" s="189"/>
      <c r="E72" s="189"/>
      <c r="Z72" s="185"/>
    </row>
    <row r="73" spans="1:26">
      <c r="A73" s="189"/>
      <c r="B73" s="267"/>
      <c r="C73" s="189"/>
      <c r="D73" s="189"/>
      <c r="E73" s="189"/>
      <c r="Z73" s="185"/>
    </row>
    <row r="74" spans="1:26">
      <c r="A74" s="189"/>
      <c r="B74" s="267"/>
      <c r="C74" s="189"/>
      <c r="D74" s="189"/>
      <c r="E74" s="189"/>
      <c r="Z74" s="185"/>
    </row>
    <row r="75" spans="1:26">
      <c r="A75" s="189"/>
      <c r="B75" s="267"/>
      <c r="C75" s="189"/>
      <c r="D75" s="189"/>
      <c r="E75" s="189"/>
      <c r="Z75" s="185"/>
    </row>
    <row r="76" spans="1:26">
      <c r="A76" s="189"/>
      <c r="B76" s="267"/>
      <c r="C76" s="189"/>
      <c r="D76" s="189"/>
      <c r="E76" s="189"/>
      <c r="Z76" s="185"/>
    </row>
    <row r="77" spans="1:26">
      <c r="A77" s="189"/>
      <c r="B77" s="267"/>
      <c r="C77" s="189"/>
      <c r="D77" s="189"/>
      <c r="E77" s="189"/>
      <c r="Z77" s="185"/>
    </row>
    <row r="78" spans="1:26">
      <c r="A78" s="189"/>
      <c r="B78" s="267"/>
      <c r="C78" s="189"/>
      <c r="D78" s="189"/>
      <c r="E78" s="189"/>
      <c r="Z78" s="185"/>
    </row>
    <row r="79" spans="1:26">
      <c r="A79" s="189"/>
      <c r="B79" s="267"/>
      <c r="C79" s="189"/>
      <c r="D79" s="189"/>
      <c r="E79" s="189"/>
      <c r="Z79" s="185"/>
    </row>
    <row r="80" spans="1:26">
      <c r="A80" s="189"/>
      <c r="B80" s="267"/>
      <c r="C80" s="189"/>
      <c r="D80" s="189"/>
      <c r="E80" s="189"/>
      <c r="Z80" s="185"/>
    </row>
    <row r="81" spans="1:26">
      <c r="A81" s="189"/>
      <c r="B81" s="267"/>
      <c r="C81" s="189"/>
      <c r="D81" s="189"/>
      <c r="E81" s="189"/>
      <c r="Z81" s="185"/>
    </row>
    <row r="82" spans="1:26">
      <c r="A82" s="189"/>
      <c r="B82" s="267"/>
      <c r="C82" s="189"/>
      <c r="D82" s="189"/>
      <c r="E82" s="189"/>
      <c r="Z82" s="185"/>
    </row>
    <row r="83" spans="1:26">
      <c r="A83" s="189"/>
      <c r="B83" s="267"/>
      <c r="C83" s="189"/>
      <c r="D83" s="189"/>
      <c r="E83" s="189"/>
      <c r="Z83" s="185"/>
    </row>
    <row r="84" spans="1:26">
      <c r="A84" s="189"/>
      <c r="B84" s="267"/>
      <c r="C84" s="189"/>
      <c r="D84" s="189"/>
      <c r="E84" s="189"/>
      <c r="Z84" s="185"/>
    </row>
    <row r="85" spans="1:26">
      <c r="Z85" s="185"/>
    </row>
    <row r="86" spans="1:26">
      <c r="Z86" s="185"/>
    </row>
    <row r="87" spans="1:26">
      <c r="Z87" s="185"/>
    </row>
    <row r="88" spans="1:26">
      <c r="Z88" s="185"/>
    </row>
    <row r="89" spans="1:26">
      <c r="Z89" s="185"/>
    </row>
    <row r="90" spans="1:26">
      <c r="Z90" s="185"/>
    </row>
    <row r="91" spans="1:26">
      <c r="Z91" s="185"/>
    </row>
    <row r="92" spans="1:26">
      <c r="Z92" s="185"/>
    </row>
    <row r="93" spans="1:26">
      <c r="Z93" s="185"/>
    </row>
    <row r="94" spans="1:26">
      <c r="Z94" s="185"/>
    </row>
    <row r="95" spans="1:26">
      <c r="Z95" s="185"/>
    </row>
    <row r="96" spans="1:26">
      <c r="Z96" s="185"/>
    </row>
    <row r="97" spans="26:26">
      <c r="Z97" s="185"/>
    </row>
    <row r="98" spans="26:26">
      <c r="Z98" s="185"/>
    </row>
    <row r="99" spans="26:26">
      <c r="Z99" s="185"/>
    </row>
    <row r="100" spans="26:26">
      <c r="Z100" s="185"/>
    </row>
    <row r="101" spans="26:26">
      <c r="Z101" s="185"/>
    </row>
  </sheetData>
  <pageMargins left="0.75" right="0.75" top="1" bottom="1" header="0.5" footer="0.5"/>
  <pageSetup paperSize="9" orientation="portrait" horizontalDpi="300" verticalDpi="300" r:id="rId1"/>
  <headerFooter alignWithMargins="0"/>
</worksheet>
</file>

<file path=customUI/customUI.xml><?xml version="1.0" encoding="utf-8"?>
<customUI xmlns="http://schemas.microsoft.com/office/2006/01/customui">
  <ribbon>
    <tabs>
      <tab id="CustomTab" label="Zarade" insertAfterMso="TabDeveloper">
        <group id="SimpleControls1" label="Opcije">
          <button id="MenuButton111" label="Otvaranje nove tabele" imageMso="FileManageMenu" size="large" onAction="ThisWorkbook.Otvaranje"/>
          <button id="MenuButton3" label="Dodaj redove" imageMso="FillMenu" size="large" onAction="ThisWorkbook.Dodavanje_redova"/>
          <button id="MenuButton4" label="Oduzmi red" imageMso="FillUp" size="large" onAction="ThisWorkbook.Oduzimanje_reda"/>
        </group>
        <group id="SimpleControls3" label="Plate">
          <button id="MenuButton1" label="Akontacija" imageMso="FileManageMenu" size="large" onAction="ThisWorkbook.Akontacija"/>
          <button id="MenuButton2" label="Listici" imageMso="TableStyleClear" size="large" onAction="ThisWorkbook.Listici"/>
        </group>
        <group id="SimpleControls2" label="Kartoni">
          <button id="MenuButton6" label="Otvori kartone" imageMso="AccessListEvents" size="large" onAction="ThisWorkbook.preuzima"/>
          <button id="MenuButton7" label="Puni kartone" imageMso="RecoverInviteToMeeting" size="large" onAction="ThisWorkbook.Puniz"/>
        </group>
        <group id="SimpleControls8" label="Pomocne opcije">
          <button id="MenuButton11" label="Uputstvo" imageMso="PivotTableLayoutShowInOutlineForm" size="large" onAction="ThisWorkbook.uputstvo"/>
        </group>
      </tab>
      <tab id="CustomTab1fg" label="Program" insertAfterMso="TabZarade">
        <group id="SimpleControls11f" label="Povratak na glavni meni">
          <button id="MenuButton21f" label="Glavni meni" imageMso="TableEffectsCellBevelGallery" size="large" onAction="Module1.MENI"/>
        </group>
        <group id="SimpleControls12f" label="Opcije">
          <button id="MenuButton29f" label="Finansijsko knjigovodstvo" imageMso="InternationalCurrency" size="large" onAction="Module1.FINANSIJSKO"/>
          <button id="MenuButton22f" label="Materijalno knjigovodstvo" imageMso="_3DMaterialMetal" size="large" onAction="Module1.MATERIJALNO"/>
          <button id="MenuButton24f" label="Kalkulacije" imageMso="TableStyleTotalsRow" size="large" onAction="Module1.KALKULACIJE"/>
          <button id="MenuButton23f" label="Osnovna sredstva" imageMso="OpenStartPage" size="large" onAction="Module1.OSNOVN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MATRICA</vt:lpstr>
      <vt:lpstr>KARTON</vt:lpstr>
      <vt:lpstr>PLATE</vt:lpstr>
      <vt:lpstr>KADROVI</vt:lpstr>
      <vt:lpstr>STRUKE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Milan</dc:creator>
  <cp:lastModifiedBy>rs</cp:lastModifiedBy>
  <dcterms:created xsi:type="dcterms:W3CDTF">2011-01-10T14:47:27Z</dcterms:created>
  <dcterms:modified xsi:type="dcterms:W3CDTF">2016-02-06T04:42:48Z</dcterms:modified>
</cp:coreProperties>
</file>